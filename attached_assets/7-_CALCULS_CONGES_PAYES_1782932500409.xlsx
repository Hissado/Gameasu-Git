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braham\Desktop\MEI\A PAIE\"/>
    </mc:Choice>
  </mc:AlternateContent>
  <xr:revisionPtr revIDLastSave="0" documentId="13_ncr:1_{042C8EDE-2AE3-4BB5-B934-9800E38A7271}" xr6:coauthVersionLast="47" xr6:coauthVersionMax="47" xr10:uidLastSave="{00000000-0000-0000-0000-000000000000}"/>
  <bookViews>
    <workbookView xWindow="-110" yWindow="-110" windowWidth="19420" windowHeight="11020" xr2:uid="{BC74ABF3-0441-42DB-A357-6DFB034E6098}"/>
  </bookViews>
  <sheets>
    <sheet name="CONGES PAYES" sheetId="1" r:id="rId1"/>
  </sheets>
  <definedNames>
    <definedName name="_xlnm.Print_Area" localSheetId="0">'CONGES PAYES'!$A$1:$Q$31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1" i="1" l="1"/>
  <c r="E22" i="1" l="1"/>
  <c r="F7" i="1"/>
  <c r="G7" i="1"/>
  <c r="H7" i="1"/>
  <c r="I7" i="1"/>
  <c r="J7" i="1"/>
  <c r="K7" i="1"/>
  <c r="L7" i="1"/>
  <c r="M7" i="1"/>
  <c r="N7" i="1"/>
  <c r="O7" i="1"/>
  <c r="P7" i="1"/>
  <c r="E7" i="1"/>
  <c r="Q5" i="1"/>
  <c r="F21" i="1"/>
  <c r="G21" i="1"/>
  <c r="G22" i="1" s="1"/>
  <c r="H21" i="1"/>
  <c r="I21" i="1"/>
  <c r="J21" i="1"/>
  <c r="K21" i="1"/>
  <c r="L21" i="1"/>
  <c r="M21" i="1"/>
  <c r="M22" i="1" s="1"/>
  <c r="N21" i="1"/>
  <c r="N22" i="1" s="1"/>
  <c r="O21" i="1"/>
  <c r="P21" i="1"/>
  <c r="Q21" i="1" l="1"/>
  <c r="K22" i="1"/>
  <c r="L22" i="1"/>
  <c r="F22" i="1"/>
  <c r="P22" i="1"/>
  <c r="O22" i="1"/>
  <c r="J22" i="1"/>
  <c r="I22" i="1"/>
  <c r="H22" i="1"/>
  <c r="Q7" i="1"/>
  <c r="Q6" i="1"/>
  <c r="E8" i="1" s="1"/>
  <c r="Q22" i="1" l="1"/>
  <c r="N24" i="1"/>
  <c r="P24" i="1" s="1"/>
  <c r="P25" i="1" l="1"/>
  <c r="N26" i="1" s="1"/>
  <c r="P26" i="1" s="1"/>
  <c r="P27" i="1" l="1"/>
  <c r="P28" i="1" s="1"/>
  <c r="P29" i="1" s="1"/>
  <c r="Q30" i="1" s="1"/>
  <c r="Q31" i="1" s="1"/>
</calcChain>
</file>

<file path=xl/sharedStrings.xml><?xml version="1.0" encoding="utf-8"?>
<sst xmlns="http://schemas.openxmlformats.org/spreadsheetml/2006/main" count="46" uniqueCount="46">
  <si>
    <t>Nom et Prénoms</t>
  </si>
  <si>
    <t>Numéro CNSS</t>
  </si>
  <si>
    <t xml:space="preserve">Poste   </t>
  </si>
  <si>
    <t xml:space="preserve">Catégorie </t>
  </si>
  <si>
    <t>Date de prise de fonction</t>
  </si>
  <si>
    <t xml:space="preserve">Numéro matricule </t>
  </si>
  <si>
    <t>Salaire de base</t>
  </si>
  <si>
    <t>Sursalaire</t>
  </si>
  <si>
    <t>Heures supplémentaires à 20%</t>
  </si>
  <si>
    <t>Heures supplémentaires  à 40%</t>
  </si>
  <si>
    <t>Heures supplémentaires à 65%</t>
  </si>
  <si>
    <t>Heures supplémentaires à 100%</t>
  </si>
  <si>
    <t>Forfait heures supplémentaires</t>
  </si>
  <si>
    <t>Prime de responsabilité</t>
  </si>
  <si>
    <t>Prime de salissure</t>
  </si>
  <si>
    <t>Indemnité de transport</t>
  </si>
  <si>
    <t>Indemnité de fin de contrat</t>
  </si>
  <si>
    <t>DEDUCTIONS</t>
  </si>
  <si>
    <t>CNSS</t>
  </si>
  <si>
    <t>Base après déduction des frais professionnels</t>
  </si>
  <si>
    <t>Abattement de 28%</t>
  </si>
  <si>
    <t xml:space="preserve">Base imposable </t>
  </si>
  <si>
    <t>IRPP</t>
  </si>
  <si>
    <t>B)TOTAL DES DEDUCTIONS (CNSS + IRPP)</t>
  </si>
  <si>
    <t>Salaire Net (après Retenues Légales) = A - B</t>
  </si>
  <si>
    <t>NET A PAYER</t>
  </si>
  <si>
    <t>MOIS 1</t>
  </si>
  <si>
    <t>MOIS 2</t>
  </si>
  <si>
    <t>MOIS 3</t>
  </si>
  <si>
    <t>MOIS 4</t>
  </si>
  <si>
    <t>MOIS 5</t>
  </si>
  <si>
    <t>MOIS 6</t>
  </si>
  <si>
    <t>MOIS 7</t>
  </si>
  <si>
    <t>MOIS 8</t>
  </si>
  <si>
    <t>MOIS 9</t>
  </si>
  <si>
    <t>MOIS 10</t>
  </si>
  <si>
    <t>MOIS 11</t>
  </si>
  <si>
    <t>MOIS 12</t>
  </si>
  <si>
    <t>Nombre de jours effectués</t>
  </si>
  <si>
    <t>Ces lignes ne sont pas prises en compte dans les calculs</t>
  </si>
  <si>
    <t>Nombre de total de jours dans le mois</t>
  </si>
  <si>
    <t>Nombre de jours de congés acquis</t>
  </si>
  <si>
    <t xml:space="preserve"> A) SALAIRE BRUT  MENSUEL</t>
  </si>
  <si>
    <t>Complément de salaire</t>
  </si>
  <si>
    <t>Nombre de mois de service effectif</t>
  </si>
  <si>
    <t>ALLOCATION DE CONGES MENSUEL/ SALAIRE BRUT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</si>
</sst>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-* #,##0.00_-;\-* #,##0.00_-;_-* &quot;-&quot;??_-;_-@_-"/>
    <numFmt numFmtId="164" formatCode="_-* #,##0_-;\-* #,##0_-;_-* &quot;-&quot;??_-;_-@_-"/>
  </numFmts>
  <fonts count="1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sz val="9"/>
      <color theme="1"/>
      <name val="Arial"/>
      <family val="2"/>
    </font>
    <font>
      <sz val="10"/>
      <color rgb="FF00000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sz val="9"/>
      <name val="Arial"/>
      <family val="2"/>
    </font>
    <font>
      <b/>
      <sz val="11"/>
      <color theme="1"/>
      <name val="Arial"/>
      <family val="2"/>
    </font>
    <font>
      <sz val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8" tint="0.39997558519241921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03">
    <xf numFmtId="0" fontId="0" fillId="0" borderId="0" xfId="0"/>
    <xf numFmtId="0" fontId="3" fillId="2" borderId="0" xfId="0" applyFont="1" applyFill="1"/>
    <xf numFmtId="0" fontId="3" fillId="2" borderId="6" xfId="0" applyFont="1" applyFill="1" applyBorder="1"/>
    <xf numFmtId="164" fontId="3" fillId="2" borderId="13" xfId="1" applyNumberFormat="1" applyFont="1" applyFill="1" applyBorder="1" applyAlignment="1">
      <alignment horizontal="center"/>
    </xf>
    <xf numFmtId="164" fontId="3" fillId="2" borderId="3" xfId="1" applyNumberFormat="1" applyFont="1" applyFill="1" applyBorder="1" applyAlignment="1">
      <alignment horizontal="right" vertical="center"/>
    </xf>
    <xf numFmtId="0" fontId="6" fillId="2" borderId="4" xfId="0" applyFont="1" applyFill="1" applyBorder="1"/>
    <xf numFmtId="164" fontId="2" fillId="2" borderId="13" xfId="1" applyNumberFormat="1" applyFont="1" applyFill="1" applyBorder="1" applyAlignment="1">
      <alignment horizontal="center"/>
    </xf>
    <xf numFmtId="164" fontId="3" fillId="2" borderId="0" xfId="1" applyNumberFormat="1" applyFont="1" applyFill="1" applyAlignment="1">
      <alignment horizontal="right" vertical="center"/>
    </xf>
    <xf numFmtId="164" fontId="2" fillId="2" borderId="13" xfId="1" applyNumberFormat="1" applyFont="1" applyFill="1" applyBorder="1" applyAlignment="1">
      <alignment horizontal="right" vertical="center"/>
    </xf>
    <xf numFmtId="164" fontId="2" fillId="2" borderId="13" xfId="1" applyNumberFormat="1" applyFont="1" applyFill="1" applyBorder="1" applyAlignment="1">
      <alignment horizontal="right"/>
    </xf>
    <xf numFmtId="164" fontId="3" fillId="2" borderId="0" xfId="1" applyNumberFormat="1" applyFont="1" applyFill="1"/>
    <xf numFmtId="0" fontId="3" fillId="2" borderId="13" xfId="0" applyFont="1" applyFill="1" applyBorder="1"/>
    <xf numFmtId="0" fontId="2" fillId="2" borderId="0" xfId="0" applyFont="1" applyFill="1"/>
    <xf numFmtId="0" fontId="3" fillId="2" borderId="12" xfId="0" applyFont="1" applyFill="1" applyBorder="1"/>
    <xf numFmtId="0" fontId="6" fillId="4" borderId="3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left"/>
    </xf>
    <xf numFmtId="0" fontId="6" fillId="4" borderId="4" xfId="0" applyFont="1" applyFill="1" applyBorder="1" applyAlignment="1">
      <alignment horizontal="center"/>
    </xf>
    <xf numFmtId="164" fontId="3" fillId="4" borderId="13" xfId="1" applyNumberFormat="1" applyFont="1" applyFill="1" applyBorder="1" applyAlignment="1">
      <alignment horizontal="center"/>
    </xf>
    <xf numFmtId="164" fontId="3" fillId="4" borderId="3" xfId="1" applyNumberFormat="1" applyFont="1" applyFill="1" applyBorder="1" applyAlignment="1">
      <alignment horizontal="right" vertical="center"/>
    </xf>
    <xf numFmtId="0" fontId="6" fillId="4" borderId="4" xfId="0" applyFont="1" applyFill="1" applyBorder="1"/>
    <xf numFmtId="0" fontId="6" fillId="4" borderId="3" xfId="0" applyFont="1" applyFill="1" applyBorder="1"/>
    <xf numFmtId="0" fontId="6" fillId="4" borderId="1" xfId="0" applyFont="1" applyFill="1" applyBorder="1" applyAlignment="1">
      <alignment horizontal="left"/>
    </xf>
    <xf numFmtId="0" fontId="6" fillId="4" borderId="2" xfId="0" applyFont="1" applyFill="1" applyBorder="1" applyAlignment="1">
      <alignment horizontal="left"/>
    </xf>
    <xf numFmtId="164" fontId="3" fillId="4" borderId="9" xfId="1" applyNumberFormat="1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right" vertical="center"/>
    </xf>
    <xf numFmtId="164" fontId="2" fillId="2" borderId="13" xfId="1" applyNumberFormat="1" applyFont="1" applyFill="1" applyBorder="1"/>
    <xf numFmtId="164" fontId="3" fillId="2" borderId="3" xfId="1" applyNumberFormat="1" applyFont="1" applyFill="1" applyBorder="1" applyAlignment="1">
      <alignment horizontal="center"/>
    </xf>
    <xf numFmtId="164" fontId="3" fillId="4" borderId="3" xfId="1" applyNumberFormat="1" applyFont="1" applyFill="1" applyBorder="1" applyAlignment="1">
      <alignment horizontal="center"/>
    </xf>
    <xf numFmtId="164" fontId="3" fillId="4" borderId="1" xfId="1" applyNumberFormat="1" applyFont="1" applyFill="1" applyBorder="1" applyAlignment="1">
      <alignment horizontal="center"/>
    </xf>
    <xf numFmtId="164" fontId="3" fillId="2" borderId="13" xfId="1" applyNumberFormat="1" applyFont="1" applyFill="1" applyBorder="1"/>
    <xf numFmtId="164" fontId="4" fillId="2" borderId="13" xfId="1" applyNumberFormat="1" applyFont="1" applyFill="1" applyBorder="1"/>
    <xf numFmtId="0" fontId="2" fillId="2" borderId="10" xfId="0" applyFont="1" applyFill="1" applyBorder="1"/>
    <xf numFmtId="0" fontId="2" fillId="2" borderId="11" xfId="0" applyFont="1" applyFill="1" applyBorder="1"/>
    <xf numFmtId="164" fontId="2" fillId="3" borderId="3" xfId="1" applyNumberFormat="1" applyFont="1" applyFill="1" applyBorder="1" applyAlignment="1"/>
    <xf numFmtId="164" fontId="2" fillId="3" borderId="13" xfId="1" applyNumberFormat="1" applyFont="1" applyFill="1" applyBorder="1" applyAlignment="1"/>
    <xf numFmtId="43" fontId="2" fillId="3" borderId="13" xfId="1" applyFont="1" applyFill="1" applyBorder="1"/>
    <xf numFmtId="164" fontId="3" fillId="2" borderId="0" xfId="1" applyNumberFormat="1" applyFont="1" applyFill="1" applyBorder="1"/>
    <xf numFmtId="164" fontId="3" fillId="2" borderId="0" xfId="1" applyNumberFormat="1" applyFont="1" applyFill="1" applyBorder="1" applyAlignment="1">
      <alignment horizontal="right" vertical="center"/>
    </xf>
    <xf numFmtId="164" fontId="2" fillId="3" borderId="13" xfId="1" applyNumberFormat="1" applyFont="1" applyFill="1" applyBorder="1" applyAlignment="1">
      <alignment horizontal="right"/>
    </xf>
    <xf numFmtId="0" fontId="7" fillId="2" borderId="3" xfId="0" applyFont="1" applyFill="1" applyBorder="1"/>
    <xf numFmtId="0" fontId="7" fillId="2" borderId="5" xfId="0" applyFont="1" applyFill="1" applyBorder="1"/>
    <xf numFmtId="164" fontId="3" fillId="5" borderId="13" xfId="1" applyNumberFormat="1" applyFont="1" applyFill="1" applyBorder="1"/>
    <xf numFmtId="164" fontId="5" fillId="5" borderId="13" xfId="1" quotePrefix="1" applyNumberFormat="1" applyFont="1" applyFill="1" applyBorder="1" applyAlignment="1">
      <alignment horizontal="center" vertical="center"/>
    </xf>
    <xf numFmtId="164" fontId="3" fillId="5" borderId="13" xfId="1" applyNumberFormat="1" applyFont="1" applyFill="1" applyBorder="1" applyAlignment="1">
      <alignment horizontal="center"/>
    </xf>
    <xf numFmtId="164" fontId="3" fillId="5" borderId="3" xfId="1" applyNumberFormat="1" applyFont="1" applyFill="1" applyBorder="1" applyAlignment="1">
      <alignment horizontal="center"/>
    </xf>
    <xf numFmtId="164" fontId="3" fillId="5" borderId="3" xfId="1" applyNumberFormat="1" applyFont="1" applyFill="1" applyBorder="1" applyAlignment="1">
      <alignment horizontal="right" vertical="center"/>
    </xf>
    <xf numFmtId="0" fontId="6" fillId="5" borderId="3" xfId="0" applyFont="1" applyFill="1" applyBorder="1" applyAlignment="1">
      <alignment horizontal="left"/>
    </xf>
    <xf numFmtId="0" fontId="6" fillId="5" borderId="4" xfId="0" applyFont="1" applyFill="1" applyBorder="1" applyAlignment="1">
      <alignment horizontal="left"/>
    </xf>
    <xf numFmtId="0" fontId="6" fillId="5" borderId="5" xfId="0" applyFont="1" applyFill="1" applyBorder="1" applyAlignment="1">
      <alignment horizontal="left"/>
    </xf>
    <xf numFmtId="164" fontId="3" fillId="5" borderId="9" xfId="1" applyNumberFormat="1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center"/>
    </xf>
    <xf numFmtId="164" fontId="3" fillId="5" borderId="1" xfId="1" applyNumberFormat="1" applyFont="1" applyFill="1" applyBorder="1" applyAlignment="1">
      <alignment horizontal="right" vertical="center"/>
    </xf>
    <xf numFmtId="164" fontId="3" fillId="2" borderId="0" xfId="0" applyNumberFormat="1" applyFont="1" applyFill="1"/>
    <xf numFmtId="164" fontId="3" fillId="5" borderId="3" xfId="1" applyNumberFormat="1" applyFont="1" applyFill="1" applyBorder="1"/>
    <xf numFmtId="43" fontId="2" fillId="3" borderId="3" xfId="1" applyFont="1" applyFill="1" applyBorder="1"/>
    <xf numFmtId="164" fontId="2" fillId="2" borderId="3" xfId="1" applyNumberFormat="1" applyFont="1" applyFill="1" applyBorder="1" applyAlignment="1">
      <alignment horizontal="right" vertical="center"/>
    </xf>
    <xf numFmtId="164" fontId="4" fillId="2" borderId="3" xfId="1" applyNumberFormat="1" applyFont="1" applyFill="1" applyBorder="1"/>
    <xf numFmtId="164" fontId="2" fillId="2" borderId="0" xfId="1" applyNumberFormat="1" applyFont="1" applyFill="1" applyBorder="1" applyAlignment="1">
      <alignment horizontal="right"/>
    </xf>
    <xf numFmtId="164" fontId="2" fillId="2" borderId="13" xfId="1" applyNumberFormat="1" applyFont="1" applyFill="1" applyBorder="1" applyAlignment="1"/>
    <xf numFmtId="0" fontId="2" fillId="3" borderId="3" xfId="0" applyFont="1" applyFill="1" applyBorder="1"/>
    <xf numFmtId="0" fontId="2" fillId="3" borderId="4" xfId="0" applyFont="1" applyFill="1" applyBorder="1"/>
    <xf numFmtId="0" fontId="2" fillId="3" borderId="5" xfId="0" applyFont="1" applyFill="1" applyBorder="1"/>
    <xf numFmtId="0" fontId="2" fillId="3" borderId="13" xfId="0" applyFont="1" applyFill="1" applyBorder="1"/>
    <xf numFmtId="0" fontId="7" fillId="2" borderId="4" xfId="0" applyFont="1" applyFill="1" applyBorder="1"/>
    <xf numFmtId="0" fontId="8" fillId="2" borderId="3" xfId="0" applyFont="1" applyFill="1" applyBorder="1"/>
    <xf numFmtId="0" fontId="8" fillId="2" borderId="4" xfId="0" applyFont="1" applyFill="1" applyBorder="1"/>
    <xf numFmtId="0" fontId="3" fillId="5" borderId="13" xfId="0" applyFont="1" applyFill="1" applyBorder="1"/>
    <xf numFmtId="0" fontId="6" fillId="5" borderId="3" xfId="0" applyFont="1" applyFill="1" applyBorder="1"/>
    <xf numFmtId="0" fontId="6" fillId="5" borderId="4" xfId="0" applyFont="1" applyFill="1" applyBorder="1"/>
    <xf numFmtId="0" fontId="6" fillId="5" borderId="5" xfId="0" applyFont="1" applyFill="1" applyBorder="1"/>
    <xf numFmtId="164" fontId="3" fillId="2" borderId="0" xfId="1" applyNumberFormat="1" applyFont="1" applyFill="1" applyAlignment="1">
      <alignment vertical="center"/>
    </xf>
    <xf numFmtId="164" fontId="3" fillId="2" borderId="0" xfId="1" applyNumberFormat="1" applyFont="1" applyFill="1" applyAlignment="1"/>
    <xf numFmtId="0" fontId="6" fillId="2" borderId="3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2" fillId="2" borderId="3" xfId="0" applyFont="1" applyFill="1" applyBorder="1"/>
    <xf numFmtId="0" fontId="2" fillId="2" borderId="4" xfId="0" applyFont="1" applyFill="1" applyBorder="1"/>
    <xf numFmtId="164" fontId="3" fillId="2" borderId="13" xfId="1" applyNumberFormat="1" applyFont="1" applyFill="1" applyBorder="1" applyAlignment="1"/>
    <xf numFmtId="0" fontId="6" fillId="5" borderId="1" xfId="0" applyFont="1" applyFill="1" applyBorder="1"/>
    <xf numFmtId="0" fontId="6" fillId="5" borderId="2" xfId="0" applyFont="1" applyFill="1" applyBorder="1"/>
    <xf numFmtId="164" fontId="2" fillId="5" borderId="13" xfId="1" applyNumberFormat="1" applyFont="1" applyFill="1" applyBorder="1" applyAlignment="1">
      <alignment horizontal="right"/>
    </xf>
    <xf numFmtId="164" fontId="9" fillId="2" borderId="14" xfId="1" applyNumberFormat="1" applyFont="1" applyFill="1" applyBorder="1" applyAlignment="1">
      <alignment horizontal="right"/>
    </xf>
    <xf numFmtId="164" fontId="3" fillId="2" borderId="9" xfId="1" applyNumberFormat="1" applyFont="1" applyFill="1" applyBorder="1" applyAlignment="1">
      <alignment horizontal="right"/>
    </xf>
    <xf numFmtId="164" fontId="2" fillId="2" borderId="3" xfId="1" applyNumberFormat="1" applyFont="1" applyFill="1" applyBorder="1" applyAlignment="1">
      <alignment horizontal="center"/>
    </xf>
    <xf numFmtId="164" fontId="2" fillId="2" borderId="13" xfId="1" applyNumberFormat="1" applyFont="1" applyFill="1" applyBorder="1" applyAlignment="1">
      <alignment vertical="top" wrapText="1"/>
    </xf>
    <xf numFmtId="43" fontId="3" fillId="2" borderId="13" xfId="1" applyFont="1" applyFill="1" applyBorder="1" applyAlignment="1">
      <alignment horizontal="center"/>
    </xf>
    <xf numFmtId="0" fontId="7" fillId="2" borderId="3" xfId="0" applyFont="1" applyFill="1" applyBorder="1" applyAlignment="1">
      <alignment horizontal="left"/>
    </xf>
    <xf numFmtId="0" fontId="7" fillId="2" borderId="4" xfId="0" applyFont="1" applyFill="1" applyBorder="1" applyAlignment="1">
      <alignment horizontal="left"/>
    </xf>
    <xf numFmtId="0" fontId="7" fillId="2" borderId="5" xfId="0" applyFont="1" applyFill="1" applyBorder="1" applyAlignment="1">
      <alignment horizontal="left"/>
    </xf>
    <xf numFmtId="0" fontId="2" fillId="2" borderId="7" xfId="0" applyFont="1" applyFill="1" applyBorder="1" applyAlignment="1">
      <alignment horizontal="left"/>
    </xf>
    <xf numFmtId="0" fontId="2" fillId="2" borderId="8" xfId="0" applyFont="1" applyFill="1" applyBorder="1" applyAlignment="1">
      <alignment horizontal="left"/>
    </xf>
    <xf numFmtId="0" fontId="2" fillId="5" borderId="13" xfId="0" applyFont="1" applyFill="1" applyBorder="1" applyAlignment="1">
      <alignment horizontal="center" vertical="top" wrapText="1"/>
    </xf>
    <xf numFmtId="0" fontId="2" fillId="3" borderId="3" xfId="0" applyFont="1" applyFill="1" applyBorder="1" applyAlignment="1">
      <alignment horizontal="left"/>
    </xf>
    <xf numFmtId="0" fontId="2" fillId="3" borderId="4" xfId="0" applyFont="1" applyFill="1" applyBorder="1" applyAlignment="1">
      <alignment horizontal="left"/>
    </xf>
    <xf numFmtId="0" fontId="2" fillId="3" borderId="5" xfId="0" applyFont="1" applyFill="1" applyBorder="1" applyAlignment="1">
      <alignment horizontal="left"/>
    </xf>
    <xf numFmtId="43" fontId="2" fillId="3" borderId="3" xfId="1" applyFont="1" applyFill="1" applyBorder="1" applyAlignment="1">
      <alignment horizontal="center" vertical="center"/>
    </xf>
    <xf numFmtId="43" fontId="2" fillId="3" borderId="4" xfId="1" applyFont="1" applyFill="1" applyBorder="1" applyAlignment="1">
      <alignment horizontal="center" vertical="center"/>
    </xf>
    <xf numFmtId="43" fontId="2" fillId="3" borderId="5" xfId="1" applyFont="1" applyFill="1" applyBorder="1" applyAlignment="1">
      <alignment horizontal="center" vertical="center"/>
    </xf>
    <xf numFmtId="0" fontId="2" fillId="4" borderId="13" xfId="0" applyFont="1" applyFill="1" applyBorder="1" applyAlignment="1">
      <alignment horizontal="left" wrapText="1"/>
    </xf>
    <xf numFmtId="164" fontId="2" fillId="5" borderId="13" xfId="1" applyNumberFormat="1" applyFont="1" applyFill="1" applyBorder="1" applyAlignment="1">
      <alignment horizontal="center" vertical="top" wrapText="1"/>
    </xf>
    <xf numFmtId="0" fontId="3" fillId="5" borderId="3" xfId="0" applyFont="1" applyFill="1" applyBorder="1" applyAlignment="1">
      <alignment horizontal="left"/>
    </xf>
    <xf numFmtId="0" fontId="3" fillId="5" borderId="4" xfId="0" applyFont="1" applyFill="1" applyBorder="1" applyAlignment="1">
      <alignment horizontal="left"/>
    </xf>
    <xf numFmtId="0" fontId="3" fillId="5" borderId="5" xfId="0" applyFont="1" applyFill="1" applyBorder="1" applyAlignment="1">
      <alignment horizontal="left"/>
    </xf>
  </cellXfs>
  <cellStyles count="2">
    <cellStyle name="Milliers" xfId="1" builtinId="3"/>
    <cellStyle name="Normal" xfId="0" builtinId="0"/>
  </cellStyles>
  <dxfs count="0"/>
  <tableStyles count="1" defaultTableStyle="TableStyleMedium2" defaultPivotStyle="PivotStyleLight16">
    <tableStyle name="Invisible" pivot="0" table="0" count="0" xr9:uid="{AE2B1577-834F-47EB-B1C6-934B2729E774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E061A4-4A87-4190-8BFD-A719034C8EDA}">
  <sheetPr>
    <tabColor theme="9" tint="0.39997558519241921"/>
    <pageSetUpPr fitToPage="1"/>
  </sheetPr>
  <dimension ref="B1:R215"/>
  <sheetViews>
    <sheetView showGridLines="0" tabSelected="1" zoomScale="70" zoomScaleNormal="70" workbookViewId="0">
      <selection activeCell="J22" sqref="J22"/>
    </sheetView>
  </sheetViews>
  <sheetFormatPr baseColWidth="10" defaultColWidth="11.453125" defaultRowHeight="13" x14ac:dyDescent="0.3"/>
  <cols>
    <col min="1" max="1" width="4.1796875" style="1" customWidth="1"/>
    <col min="2" max="2" width="38.81640625" style="11" bestFit="1" customWidth="1"/>
    <col min="3" max="3" width="11.453125" style="1" customWidth="1"/>
    <col min="4" max="4" width="24.7265625" style="1" customWidth="1"/>
    <col min="5" max="5" width="8.90625" style="10" customWidth="1"/>
    <col min="6" max="11" width="8.90625" style="10" bestFit="1" customWidth="1"/>
    <col min="12" max="12" width="17.453125" style="10" customWidth="1"/>
    <col min="13" max="13" width="8.90625" style="10" bestFit="1" customWidth="1"/>
    <col min="14" max="14" width="9.54296875" style="10" bestFit="1" customWidth="1"/>
    <col min="15" max="16" width="9.54296875" style="7" bestFit="1" customWidth="1"/>
    <col min="17" max="17" width="54.26953125" style="9" bestFit="1" customWidth="1"/>
    <col min="18" max="18" width="15.1796875" style="1" customWidth="1"/>
    <col min="19" max="16384" width="11.453125" style="1"/>
  </cols>
  <sheetData>
    <row r="1" spans="2:18" s="12" customFormat="1" ht="13" customHeight="1" x14ac:dyDescent="0.3">
      <c r="B1" s="89" t="s">
        <v>0</v>
      </c>
      <c r="C1" s="90"/>
      <c r="D1" s="90"/>
      <c r="E1" s="91"/>
      <c r="F1" s="91"/>
      <c r="G1" s="91"/>
      <c r="H1" s="91"/>
      <c r="I1" s="91"/>
      <c r="J1" s="91"/>
      <c r="K1" s="91"/>
      <c r="L1" s="84" t="s">
        <v>1</v>
      </c>
      <c r="M1" s="99"/>
      <c r="N1" s="99"/>
      <c r="O1" s="99"/>
      <c r="P1" s="99"/>
      <c r="Q1" s="99"/>
    </row>
    <row r="2" spans="2:18" s="12" customFormat="1" ht="13" customHeight="1" x14ac:dyDescent="0.3">
      <c r="B2" s="89" t="s">
        <v>2</v>
      </c>
      <c r="C2" s="90"/>
      <c r="D2" s="90"/>
      <c r="E2" s="91"/>
      <c r="F2" s="91"/>
      <c r="G2" s="91"/>
      <c r="H2" s="91"/>
      <c r="I2" s="91"/>
      <c r="J2" s="91"/>
      <c r="K2" s="91"/>
      <c r="L2" s="84" t="s">
        <v>3</v>
      </c>
      <c r="M2" s="99"/>
      <c r="N2" s="99"/>
      <c r="O2" s="99"/>
      <c r="P2" s="99"/>
      <c r="Q2" s="99"/>
    </row>
    <row r="3" spans="2:18" s="12" customFormat="1" ht="13" customHeight="1" x14ac:dyDescent="0.3">
      <c r="B3" s="89" t="s">
        <v>4</v>
      </c>
      <c r="C3" s="90"/>
      <c r="D3" s="90"/>
      <c r="E3" s="91"/>
      <c r="F3" s="91"/>
      <c r="G3" s="91"/>
      <c r="H3" s="91"/>
      <c r="I3" s="91"/>
      <c r="J3" s="91"/>
      <c r="K3" s="91"/>
      <c r="L3" s="84" t="s">
        <v>5</v>
      </c>
      <c r="M3" s="99"/>
      <c r="N3" s="99"/>
      <c r="O3" s="99"/>
      <c r="P3" s="99"/>
      <c r="Q3" s="99"/>
    </row>
    <row r="4" spans="2:18" ht="13" customHeight="1" x14ac:dyDescent="0.3">
      <c r="B4" s="2"/>
      <c r="E4" s="25" t="s">
        <v>26</v>
      </c>
      <c r="F4" s="25" t="s">
        <v>27</v>
      </c>
      <c r="G4" s="25" t="s">
        <v>28</v>
      </c>
      <c r="H4" s="25" t="s">
        <v>29</v>
      </c>
      <c r="I4" s="25" t="s">
        <v>30</v>
      </c>
      <c r="J4" s="25" t="s">
        <v>31</v>
      </c>
      <c r="K4" s="25" t="s">
        <v>32</v>
      </c>
      <c r="L4" s="25" t="s">
        <v>33</v>
      </c>
      <c r="M4" s="25" t="s">
        <v>34</v>
      </c>
      <c r="N4" s="25" t="s">
        <v>35</v>
      </c>
      <c r="O4" s="25" t="s">
        <v>36</v>
      </c>
      <c r="P4" s="25" t="s">
        <v>37</v>
      </c>
      <c r="Q4" s="6"/>
    </row>
    <row r="5" spans="2:18" ht="14.5" customHeight="1" x14ac:dyDescent="0.3">
      <c r="B5" s="66" t="s">
        <v>40</v>
      </c>
      <c r="C5" s="66"/>
      <c r="D5" s="66"/>
      <c r="E5" s="41">
        <v>30</v>
      </c>
      <c r="F5" s="41">
        <v>30</v>
      </c>
      <c r="G5" s="41">
        <v>30</v>
      </c>
      <c r="H5" s="41">
        <v>30</v>
      </c>
      <c r="I5" s="41">
        <v>30</v>
      </c>
      <c r="J5" s="41">
        <v>30</v>
      </c>
      <c r="K5" s="41">
        <v>30</v>
      </c>
      <c r="L5" s="41">
        <v>30</v>
      </c>
      <c r="M5" s="41">
        <v>30</v>
      </c>
      <c r="N5" s="41">
        <v>30</v>
      </c>
      <c r="O5" s="41">
        <v>30</v>
      </c>
      <c r="P5" s="53">
        <v>30</v>
      </c>
      <c r="Q5" s="80">
        <f t="shared" ref="Q5" si="0">SUM(E5:P5)</f>
        <v>360</v>
      </c>
    </row>
    <row r="6" spans="2:18" ht="14.5" customHeight="1" x14ac:dyDescent="0.3">
      <c r="B6" s="100" t="s">
        <v>38</v>
      </c>
      <c r="C6" s="101"/>
      <c r="D6" s="102"/>
      <c r="E6" s="41">
        <v>30</v>
      </c>
      <c r="F6" s="41">
        <v>30</v>
      </c>
      <c r="G6" s="41">
        <v>30</v>
      </c>
      <c r="H6" s="41">
        <v>30</v>
      </c>
      <c r="I6" s="41">
        <v>30</v>
      </c>
      <c r="J6" s="41">
        <v>30</v>
      </c>
      <c r="K6" s="41">
        <v>30</v>
      </c>
      <c r="L6" s="41">
        <v>30</v>
      </c>
      <c r="M6" s="41">
        <v>30</v>
      </c>
      <c r="N6" s="41">
        <v>30</v>
      </c>
      <c r="O6" s="41">
        <v>30</v>
      </c>
      <c r="P6" s="53">
        <v>30</v>
      </c>
      <c r="Q6" s="80">
        <f>SUM(E6:P6)</f>
        <v>360</v>
      </c>
      <c r="R6" s="52"/>
    </row>
    <row r="7" spans="2:18" s="12" customFormat="1" ht="14.5" customHeight="1" x14ac:dyDescent="0.3">
      <c r="B7" s="62" t="s">
        <v>41</v>
      </c>
      <c r="C7" s="62"/>
      <c r="D7" s="62"/>
      <c r="E7" s="35">
        <f t="shared" ref="E7:P7" si="1">(E6/E5)*2.5</f>
        <v>2.5</v>
      </c>
      <c r="F7" s="35">
        <f t="shared" si="1"/>
        <v>2.5</v>
      </c>
      <c r="G7" s="35">
        <f t="shared" si="1"/>
        <v>2.5</v>
      </c>
      <c r="H7" s="35">
        <f t="shared" si="1"/>
        <v>2.5</v>
      </c>
      <c r="I7" s="35">
        <f t="shared" si="1"/>
        <v>2.5</v>
      </c>
      <c r="J7" s="35">
        <f t="shared" si="1"/>
        <v>2.5</v>
      </c>
      <c r="K7" s="35">
        <f t="shared" si="1"/>
        <v>2.5</v>
      </c>
      <c r="L7" s="35">
        <f t="shared" si="1"/>
        <v>2.5</v>
      </c>
      <c r="M7" s="35">
        <f t="shared" si="1"/>
        <v>2.5</v>
      </c>
      <c r="N7" s="35">
        <f t="shared" si="1"/>
        <v>2.5</v>
      </c>
      <c r="O7" s="35">
        <f t="shared" si="1"/>
        <v>2.5</v>
      </c>
      <c r="P7" s="54">
        <f t="shared" si="1"/>
        <v>2.5</v>
      </c>
      <c r="Q7" s="35">
        <f>SUM(E7:P7)</f>
        <v>30</v>
      </c>
    </row>
    <row r="8" spans="2:18" s="12" customFormat="1" ht="14.5" customHeight="1" x14ac:dyDescent="0.3">
      <c r="B8" s="59" t="s">
        <v>44</v>
      </c>
      <c r="C8" s="60"/>
      <c r="D8" s="61"/>
      <c r="E8" s="95">
        <f>(Q6*12)/360</f>
        <v>12</v>
      </c>
      <c r="F8" s="96"/>
      <c r="G8" s="96"/>
      <c r="H8" s="96"/>
      <c r="I8" s="96"/>
      <c r="J8" s="96"/>
      <c r="K8" s="96"/>
      <c r="L8" s="96"/>
      <c r="M8" s="96"/>
      <c r="N8" s="96"/>
      <c r="O8" s="96"/>
      <c r="P8" s="96"/>
      <c r="Q8" s="97"/>
    </row>
    <row r="9" spans="2:18" ht="14.5" customHeight="1" x14ac:dyDescent="0.3">
      <c r="B9" s="100" t="s">
        <v>6</v>
      </c>
      <c r="C9" s="101"/>
      <c r="D9" s="102"/>
      <c r="E9" s="42">
        <v>100000</v>
      </c>
      <c r="F9" s="42">
        <v>100000</v>
      </c>
      <c r="G9" s="42">
        <v>100000</v>
      </c>
      <c r="H9" s="42">
        <v>100000</v>
      </c>
      <c r="I9" s="42">
        <v>100000</v>
      </c>
      <c r="J9" s="42">
        <v>100000</v>
      </c>
      <c r="K9" s="42">
        <v>100000</v>
      </c>
      <c r="L9" s="42">
        <v>100000</v>
      </c>
      <c r="M9" s="42">
        <v>100000</v>
      </c>
      <c r="N9" s="42">
        <v>100000</v>
      </c>
      <c r="O9" s="42">
        <v>100000</v>
      </c>
      <c r="P9" s="42">
        <v>100000</v>
      </c>
      <c r="Q9" s="80"/>
    </row>
    <row r="10" spans="2:18" ht="14.5" customHeight="1" x14ac:dyDescent="0.3">
      <c r="B10" s="67" t="s">
        <v>7</v>
      </c>
      <c r="C10" s="68"/>
      <c r="D10" s="69"/>
      <c r="E10" s="43">
        <v>20000</v>
      </c>
      <c r="F10" s="43">
        <v>20000</v>
      </c>
      <c r="G10" s="43">
        <v>20000</v>
      </c>
      <c r="H10" s="43">
        <v>20000</v>
      </c>
      <c r="I10" s="43">
        <v>20000</v>
      </c>
      <c r="J10" s="43">
        <v>20000</v>
      </c>
      <c r="K10" s="43">
        <v>20000</v>
      </c>
      <c r="L10" s="43">
        <v>20000</v>
      </c>
      <c r="M10" s="43">
        <v>20000</v>
      </c>
      <c r="N10" s="43">
        <v>20000</v>
      </c>
      <c r="O10" s="43">
        <v>20000</v>
      </c>
      <c r="P10" s="43">
        <v>20000</v>
      </c>
      <c r="Q10" s="80"/>
    </row>
    <row r="11" spans="2:18" ht="14.5" customHeight="1" x14ac:dyDescent="0.3">
      <c r="B11" s="67" t="s">
        <v>8</v>
      </c>
      <c r="C11" s="68"/>
      <c r="D11" s="69"/>
      <c r="E11" s="43"/>
      <c r="F11" s="43"/>
      <c r="G11" s="43"/>
      <c r="H11" s="43"/>
      <c r="I11" s="43"/>
      <c r="J11" s="43"/>
      <c r="K11" s="43"/>
      <c r="L11" s="43"/>
      <c r="M11" s="44"/>
      <c r="N11" s="44"/>
      <c r="O11" s="45"/>
      <c r="P11" s="45"/>
      <c r="Q11" s="80"/>
    </row>
    <row r="12" spans="2:18" ht="14.5" customHeight="1" x14ac:dyDescent="0.3">
      <c r="B12" s="67" t="s">
        <v>9</v>
      </c>
      <c r="C12" s="68"/>
      <c r="D12" s="69"/>
      <c r="E12" s="43"/>
      <c r="F12" s="43"/>
      <c r="G12" s="43"/>
      <c r="H12" s="43"/>
      <c r="I12" s="43"/>
      <c r="J12" s="43"/>
      <c r="K12" s="43"/>
      <c r="L12" s="43"/>
      <c r="M12" s="44"/>
      <c r="N12" s="44"/>
      <c r="O12" s="45"/>
      <c r="P12" s="45"/>
      <c r="Q12" s="80"/>
    </row>
    <row r="13" spans="2:18" ht="14.5" customHeight="1" x14ac:dyDescent="0.3">
      <c r="B13" s="67" t="s">
        <v>10</v>
      </c>
      <c r="C13" s="68"/>
      <c r="D13" s="69"/>
      <c r="E13" s="43"/>
      <c r="F13" s="43"/>
      <c r="G13" s="43"/>
      <c r="H13" s="43"/>
      <c r="I13" s="43"/>
      <c r="J13" s="43"/>
      <c r="K13" s="43"/>
      <c r="L13" s="43"/>
      <c r="M13" s="44"/>
      <c r="N13" s="44"/>
      <c r="O13" s="45"/>
      <c r="P13" s="45"/>
      <c r="Q13" s="80"/>
    </row>
    <row r="14" spans="2:18" ht="14.5" customHeight="1" x14ac:dyDescent="0.3">
      <c r="B14" s="67" t="s">
        <v>11</v>
      </c>
      <c r="C14" s="68"/>
      <c r="D14" s="69"/>
      <c r="E14" s="43"/>
      <c r="F14" s="43"/>
      <c r="G14" s="43"/>
      <c r="H14" s="43"/>
      <c r="I14" s="43"/>
      <c r="J14" s="43"/>
      <c r="K14" s="43"/>
      <c r="L14" s="43"/>
      <c r="M14" s="44"/>
      <c r="N14" s="44"/>
      <c r="O14" s="45"/>
      <c r="P14" s="45"/>
      <c r="Q14" s="80"/>
    </row>
    <row r="15" spans="2:18" x14ac:dyDescent="0.3">
      <c r="B15" s="46" t="s">
        <v>12</v>
      </c>
      <c r="C15" s="47"/>
      <c r="D15" s="48"/>
      <c r="E15" s="43"/>
      <c r="F15" s="43"/>
      <c r="G15" s="43"/>
      <c r="H15" s="43"/>
      <c r="I15" s="43"/>
      <c r="J15" s="43"/>
      <c r="K15" s="43"/>
      <c r="L15" s="43"/>
      <c r="M15" s="44"/>
      <c r="N15" s="44"/>
      <c r="O15" s="45"/>
      <c r="P15" s="45"/>
      <c r="Q15" s="80"/>
    </row>
    <row r="16" spans="2:18" ht="14.5" customHeight="1" x14ac:dyDescent="0.25">
      <c r="B16" s="14" t="s">
        <v>13</v>
      </c>
      <c r="C16" s="15"/>
      <c r="D16" s="16"/>
      <c r="E16" s="17"/>
      <c r="F16" s="17"/>
      <c r="G16" s="17"/>
      <c r="H16" s="17"/>
      <c r="I16" s="17"/>
      <c r="J16" s="17"/>
      <c r="K16" s="17"/>
      <c r="L16" s="17"/>
      <c r="M16" s="27"/>
      <c r="N16" s="27"/>
      <c r="O16" s="18"/>
      <c r="P16" s="18"/>
      <c r="Q16" s="98" t="s">
        <v>39</v>
      </c>
    </row>
    <row r="17" spans="2:17" ht="14.5" customHeight="1" x14ac:dyDescent="0.25">
      <c r="B17" s="14" t="s">
        <v>14</v>
      </c>
      <c r="C17" s="15"/>
      <c r="D17" s="19"/>
      <c r="E17" s="17"/>
      <c r="F17" s="17"/>
      <c r="G17" s="17"/>
      <c r="H17" s="17"/>
      <c r="I17" s="17"/>
      <c r="J17" s="17"/>
      <c r="K17" s="17"/>
      <c r="L17" s="17"/>
      <c r="M17" s="27"/>
      <c r="N17" s="27"/>
      <c r="O17" s="18"/>
      <c r="P17" s="18"/>
      <c r="Q17" s="98"/>
    </row>
    <row r="18" spans="2:17" ht="14.5" customHeight="1" x14ac:dyDescent="0.25">
      <c r="B18" s="20" t="s">
        <v>15</v>
      </c>
      <c r="C18" s="19"/>
      <c r="D18" s="16"/>
      <c r="E18" s="17">
        <v>50000</v>
      </c>
      <c r="F18" s="17">
        <v>50000</v>
      </c>
      <c r="G18" s="17">
        <v>50000</v>
      </c>
      <c r="H18" s="17">
        <v>50000</v>
      </c>
      <c r="I18" s="17">
        <v>50000</v>
      </c>
      <c r="J18" s="17">
        <v>50000</v>
      </c>
      <c r="K18" s="17">
        <v>50000</v>
      </c>
      <c r="L18" s="17">
        <v>50000</v>
      </c>
      <c r="M18" s="17">
        <v>50000</v>
      </c>
      <c r="N18" s="17">
        <v>50000</v>
      </c>
      <c r="O18" s="17">
        <v>50000</v>
      </c>
      <c r="P18" s="17">
        <v>50000</v>
      </c>
      <c r="Q18" s="98"/>
    </row>
    <row r="19" spans="2:17" ht="14.5" customHeight="1" x14ac:dyDescent="0.25">
      <c r="B19" s="21" t="s">
        <v>16</v>
      </c>
      <c r="C19" s="22"/>
      <c r="D19" s="22"/>
      <c r="E19" s="17"/>
      <c r="F19" s="23"/>
      <c r="G19" s="23"/>
      <c r="H19" s="23"/>
      <c r="I19" s="23"/>
      <c r="J19" s="23"/>
      <c r="K19" s="23"/>
      <c r="L19" s="23"/>
      <c r="M19" s="28"/>
      <c r="N19" s="28"/>
      <c r="O19" s="24"/>
      <c r="P19" s="24"/>
      <c r="Q19" s="98"/>
    </row>
    <row r="20" spans="2:17" ht="14.5" customHeight="1" x14ac:dyDescent="0.3">
      <c r="B20" s="78" t="s">
        <v>43</v>
      </c>
      <c r="C20" s="79"/>
      <c r="D20" s="79"/>
      <c r="E20" s="43"/>
      <c r="F20" s="49"/>
      <c r="G20" s="49"/>
      <c r="H20" s="49"/>
      <c r="I20" s="49"/>
      <c r="J20" s="49"/>
      <c r="K20" s="49"/>
      <c r="L20" s="49"/>
      <c r="M20" s="50"/>
      <c r="N20" s="50"/>
      <c r="O20" s="51"/>
      <c r="P20" s="51"/>
      <c r="Q20" s="80"/>
    </row>
    <row r="21" spans="2:17" s="12" customFormat="1" ht="14.5" customHeight="1" x14ac:dyDescent="0.3">
      <c r="B21" s="62" t="s">
        <v>42</v>
      </c>
      <c r="C21" s="62"/>
      <c r="D21" s="62"/>
      <c r="E21" s="34">
        <f>E9+E10+E11+E12+E13+E14+E15+E20</f>
        <v>120000</v>
      </c>
      <c r="F21" s="34">
        <f t="shared" ref="F21:P21" si="2">F9+F10+F11+F12+F13+F14+F15+F20</f>
        <v>120000</v>
      </c>
      <c r="G21" s="34">
        <f t="shared" si="2"/>
        <v>120000</v>
      </c>
      <c r="H21" s="34">
        <f t="shared" si="2"/>
        <v>120000</v>
      </c>
      <c r="I21" s="34">
        <f t="shared" si="2"/>
        <v>120000</v>
      </c>
      <c r="J21" s="34">
        <f t="shared" si="2"/>
        <v>120000</v>
      </c>
      <c r="K21" s="34">
        <f t="shared" si="2"/>
        <v>120000</v>
      </c>
      <c r="L21" s="34">
        <f t="shared" si="2"/>
        <v>120000</v>
      </c>
      <c r="M21" s="34">
        <f t="shared" si="2"/>
        <v>120000</v>
      </c>
      <c r="N21" s="34">
        <f t="shared" si="2"/>
        <v>120000</v>
      </c>
      <c r="O21" s="34">
        <f t="shared" si="2"/>
        <v>120000</v>
      </c>
      <c r="P21" s="33">
        <f t="shared" si="2"/>
        <v>120000</v>
      </c>
      <c r="Q21" s="38">
        <f>SUM(E21:P21)</f>
        <v>1440000</v>
      </c>
    </row>
    <row r="22" spans="2:17" s="12" customFormat="1" ht="14.5" customHeight="1" x14ac:dyDescent="0.3">
      <c r="B22" s="92" t="s">
        <v>45</v>
      </c>
      <c r="C22" s="93"/>
      <c r="D22" s="94"/>
      <c r="E22" s="34">
        <f>(E21/E5)*E7</f>
        <v>10000</v>
      </c>
      <c r="F22" s="34">
        <f t="shared" ref="F22:P22" si="3">(F21/F5)*F7</f>
        <v>10000</v>
      </c>
      <c r="G22" s="34">
        <f>(G21/G5)*G7</f>
        <v>10000</v>
      </c>
      <c r="H22" s="34">
        <f t="shared" si="3"/>
        <v>10000</v>
      </c>
      <c r="I22" s="34">
        <f t="shared" si="3"/>
        <v>10000</v>
      </c>
      <c r="J22" s="34">
        <f t="shared" si="3"/>
        <v>10000</v>
      </c>
      <c r="K22" s="34">
        <f t="shared" si="3"/>
        <v>10000</v>
      </c>
      <c r="L22" s="34">
        <f t="shared" si="3"/>
        <v>10000</v>
      </c>
      <c r="M22" s="34">
        <f t="shared" si="3"/>
        <v>10000</v>
      </c>
      <c r="N22" s="34">
        <f t="shared" si="3"/>
        <v>10000</v>
      </c>
      <c r="O22" s="34">
        <f t="shared" si="3"/>
        <v>10000</v>
      </c>
      <c r="P22" s="33">
        <f t="shared" si="3"/>
        <v>10000</v>
      </c>
      <c r="Q22" s="38">
        <f>SUM(E22:P22)</f>
        <v>120000</v>
      </c>
    </row>
    <row r="23" spans="2:17" ht="14.5" customHeight="1" x14ac:dyDescent="0.3">
      <c r="B23" s="39" t="s">
        <v>17</v>
      </c>
      <c r="C23" s="63"/>
      <c r="D23" s="40"/>
      <c r="E23" s="6"/>
      <c r="F23" s="6"/>
      <c r="G23" s="6"/>
      <c r="H23" s="6"/>
      <c r="I23" s="6"/>
      <c r="J23" s="6"/>
      <c r="K23" s="6"/>
      <c r="L23" s="6"/>
      <c r="M23" s="6"/>
      <c r="N23" s="6"/>
      <c r="O23" s="8"/>
      <c r="P23" s="55"/>
    </row>
    <row r="24" spans="2:17" ht="14.5" customHeight="1" x14ac:dyDescent="0.3">
      <c r="B24" s="86" t="s">
        <v>18</v>
      </c>
      <c r="C24" s="87"/>
      <c r="D24" s="88"/>
      <c r="E24" s="29"/>
      <c r="F24" s="3"/>
      <c r="G24" s="3"/>
      <c r="H24" s="3"/>
      <c r="I24" s="3"/>
      <c r="J24" s="3"/>
      <c r="K24" s="3"/>
      <c r="L24" s="29"/>
      <c r="M24" s="3"/>
      <c r="N24" s="3">
        <f>Q22</f>
        <v>120000</v>
      </c>
      <c r="O24" s="85">
        <v>0.09</v>
      </c>
      <c r="P24" s="83">
        <f>N24*O24</f>
        <v>10800</v>
      </c>
      <c r="Q24" s="8"/>
    </row>
    <row r="25" spans="2:17" ht="14.5" customHeight="1" x14ac:dyDescent="0.25">
      <c r="B25" s="64" t="s">
        <v>19</v>
      </c>
      <c r="C25" s="65"/>
      <c r="D25" s="65"/>
      <c r="E25" s="29"/>
      <c r="F25" s="30"/>
      <c r="G25" s="30"/>
      <c r="H25" s="30"/>
      <c r="I25" s="30"/>
      <c r="J25" s="30"/>
      <c r="K25" s="30"/>
      <c r="L25" s="29"/>
      <c r="M25" s="30"/>
      <c r="N25" s="30"/>
      <c r="O25" s="30"/>
      <c r="P25" s="56">
        <f>Q22-P24</f>
        <v>109200</v>
      </c>
      <c r="Q25" s="8"/>
    </row>
    <row r="26" spans="2:17" ht="14.5" customHeight="1" x14ac:dyDescent="0.25">
      <c r="B26" s="72" t="s">
        <v>20</v>
      </c>
      <c r="C26" s="5"/>
      <c r="D26" s="5"/>
      <c r="E26" s="29"/>
      <c r="F26" s="3"/>
      <c r="G26" s="3"/>
      <c r="H26" s="3"/>
      <c r="I26" s="3"/>
      <c r="J26" s="3"/>
      <c r="K26" s="3"/>
      <c r="L26" s="29"/>
      <c r="M26" s="3"/>
      <c r="N26" s="3">
        <f>P25</f>
        <v>109200</v>
      </c>
      <c r="O26" s="85">
        <v>0.28000000000000003</v>
      </c>
      <c r="P26" s="26">
        <f>N26*0.28</f>
        <v>30576.000000000004</v>
      </c>
      <c r="Q26" s="8"/>
    </row>
    <row r="27" spans="2:17" ht="14.5" customHeight="1" x14ac:dyDescent="0.25">
      <c r="B27" s="72" t="s">
        <v>21</v>
      </c>
      <c r="C27" s="5"/>
      <c r="D27" s="5"/>
      <c r="E27" s="3"/>
      <c r="F27" s="3"/>
      <c r="G27" s="3"/>
      <c r="H27" s="3"/>
      <c r="I27" s="3"/>
      <c r="J27" s="3"/>
      <c r="K27" s="3"/>
      <c r="L27" s="3"/>
      <c r="M27" s="3"/>
      <c r="N27" s="3"/>
      <c r="O27" s="29"/>
      <c r="P27" s="4">
        <f>ROUNDDOWN((N24-P24)*72%-AD17*10000,-3)</f>
        <v>78000</v>
      </c>
      <c r="Q27" s="8"/>
    </row>
    <row r="28" spans="2:17" ht="14.5" customHeight="1" x14ac:dyDescent="0.3">
      <c r="B28" s="86" t="s">
        <v>22</v>
      </c>
      <c r="C28" s="87"/>
      <c r="D28" s="88"/>
      <c r="E28" s="3"/>
      <c r="F28" s="3"/>
      <c r="G28" s="3"/>
      <c r="H28" s="3"/>
      <c r="I28" s="3"/>
      <c r="J28" s="3"/>
      <c r="K28" s="3"/>
      <c r="L28" s="3"/>
      <c r="M28" s="3"/>
      <c r="N28" s="3"/>
      <c r="O28" s="29"/>
      <c r="P28" s="55">
        <f>IF(P27="","",IF(P27&lt;=900000/12,"0",IF(AND(P27&gt;900000/12,P27&lt;=3000000/12),((P27-900000/12)*3%),IF(AND(P27&gt;3000000/12,P27&lt;=6000000/12),((P27-3000000/12)*10%)+63000/12,IF(AND(P27&gt;6000000/12,P27&lt;=9000000/12),((P27-6000000/12)*15%)+363000/12,IF(AND(P27&gt;9000000/12,P27&lt;=12000000/12),((P27-9000000/12)*20%)+813000/12,IF(AND(P27&gt;12000000/12,P27&lt;=15000000/12),((P27-12000000/12)*25%)+1413000/12,IF(AND(P27&gt;15000000/12,P27&lt;=20000000/12),((P27-15000000/12)*30%)+2163000/12,IF(P27&gt;20000000/12,((P27-20000000/12)*35%)+3663000/12,"")))))))))</f>
        <v>90</v>
      </c>
      <c r="Q28" s="8"/>
    </row>
    <row r="29" spans="2:17" ht="14.5" customHeight="1" x14ac:dyDescent="0.3">
      <c r="B29" s="75" t="s">
        <v>23</v>
      </c>
      <c r="C29" s="76"/>
      <c r="D29" s="76"/>
      <c r="E29" s="58"/>
      <c r="F29" s="58"/>
      <c r="G29" s="58"/>
      <c r="H29" s="58"/>
      <c r="I29" s="58"/>
      <c r="J29" s="58"/>
      <c r="K29" s="58"/>
      <c r="L29" s="58"/>
      <c r="M29" s="58"/>
      <c r="N29" s="58"/>
      <c r="O29" s="77"/>
      <c r="P29" s="55">
        <f>P24+P28</f>
        <v>10890</v>
      </c>
      <c r="Q29" s="8"/>
    </row>
    <row r="30" spans="2:17" ht="14.5" customHeight="1" thickBot="1" x14ac:dyDescent="0.3">
      <c r="B30" s="73" t="s">
        <v>24</v>
      </c>
      <c r="C30" s="74"/>
      <c r="D30" s="74"/>
      <c r="E30" s="3"/>
      <c r="F30" s="3"/>
      <c r="G30" s="3"/>
      <c r="H30" s="3"/>
      <c r="I30" s="3"/>
      <c r="J30" s="3"/>
      <c r="K30" s="3"/>
      <c r="L30" s="3"/>
      <c r="M30" s="26"/>
      <c r="N30" s="26"/>
      <c r="O30" s="4"/>
      <c r="P30" s="4"/>
      <c r="Q30" s="82">
        <f>Q22-P29</f>
        <v>109110</v>
      </c>
    </row>
    <row r="31" spans="2:17" ht="14.5" customHeight="1" thickBot="1" x14ac:dyDescent="0.35">
      <c r="B31" s="31" t="s">
        <v>25</v>
      </c>
      <c r="C31" s="32"/>
      <c r="D31" s="32"/>
      <c r="E31" s="32"/>
      <c r="F31" s="32"/>
      <c r="G31" s="32"/>
      <c r="H31" s="32"/>
      <c r="I31" s="32"/>
      <c r="J31" s="32"/>
      <c r="K31" s="32"/>
      <c r="L31" s="32"/>
      <c r="M31" s="32"/>
      <c r="N31" s="32"/>
      <c r="O31" s="32"/>
      <c r="P31" s="32"/>
      <c r="Q31" s="81">
        <f>Q30</f>
        <v>109110</v>
      </c>
    </row>
    <row r="32" spans="2:17" x14ac:dyDescent="0.3">
      <c r="B32" s="1"/>
      <c r="E32" s="71"/>
      <c r="I32" s="71"/>
      <c r="L32" s="71"/>
      <c r="O32" s="70"/>
      <c r="Q32" s="57"/>
    </row>
    <row r="33" spans="2:17" x14ac:dyDescent="0.3">
      <c r="B33" s="1"/>
      <c r="E33" s="71"/>
      <c r="I33" s="71"/>
      <c r="L33" s="71"/>
      <c r="O33" s="70"/>
      <c r="Q33" s="57"/>
    </row>
    <row r="34" spans="2:17" x14ac:dyDescent="0.3">
      <c r="B34" s="1"/>
      <c r="Q34" s="57"/>
    </row>
    <row r="35" spans="2:17" x14ac:dyDescent="0.3">
      <c r="B35" s="1"/>
      <c r="Q35" s="57"/>
    </row>
    <row r="36" spans="2:17" x14ac:dyDescent="0.3">
      <c r="B36" s="1"/>
      <c r="Q36" s="57"/>
    </row>
    <row r="37" spans="2:17" x14ac:dyDescent="0.3">
      <c r="B37" s="1"/>
      <c r="Q37" s="57"/>
    </row>
    <row r="38" spans="2:17" x14ac:dyDescent="0.3">
      <c r="B38" s="1"/>
      <c r="E38" s="71"/>
      <c r="F38" s="71"/>
      <c r="G38" s="71"/>
      <c r="H38" s="71"/>
      <c r="I38" s="71"/>
      <c r="J38" s="71"/>
      <c r="K38" s="71"/>
      <c r="L38" s="71"/>
      <c r="M38" s="71"/>
      <c r="N38" s="71"/>
      <c r="O38" s="70"/>
      <c r="P38" s="70"/>
      <c r="Q38" s="57"/>
    </row>
    <row r="39" spans="2:17" x14ac:dyDescent="0.3">
      <c r="B39" s="1"/>
      <c r="Q39" s="57"/>
    </row>
    <row r="40" spans="2:17" x14ac:dyDescent="0.3">
      <c r="B40" s="1"/>
      <c r="O40" s="70"/>
      <c r="P40" s="70"/>
      <c r="Q40" s="57"/>
    </row>
    <row r="41" spans="2:17" x14ac:dyDescent="0.3">
      <c r="B41" s="1"/>
      <c r="Q41" s="57"/>
    </row>
    <row r="42" spans="2:17" x14ac:dyDescent="0.3">
      <c r="B42" s="1"/>
      <c r="L42" s="71"/>
      <c r="M42" s="71"/>
      <c r="N42" s="71"/>
      <c r="O42" s="70"/>
      <c r="Q42" s="57"/>
    </row>
    <row r="43" spans="2:17" x14ac:dyDescent="0.3">
      <c r="B43" s="1"/>
      <c r="Q43" s="57"/>
    </row>
    <row r="44" spans="2:17" x14ac:dyDescent="0.3">
      <c r="B44" s="1"/>
      <c r="Q44" s="57"/>
    </row>
    <row r="45" spans="2:17" x14ac:dyDescent="0.3">
      <c r="B45" s="1"/>
      <c r="Q45" s="57"/>
    </row>
    <row r="46" spans="2:17" x14ac:dyDescent="0.3">
      <c r="B46" s="1"/>
      <c r="Q46" s="57"/>
    </row>
    <row r="47" spans="2:17" x14ac:dyDescent="0.3">
      <c r="B47" s="1"/>
      <c r="Q47" s="57"/>
    </row>
    <row r="48" spans="2:17" ht="25.5" customHeight="1" x14ac:dyDescent="0.3">
      <c r="B48" s="1"/>
      <c r="Q48" s="57"/>
    </row>
    <row r="49" spans="5:17" s="1" customFormat="1" x14ac:dyDescent="0.3">
      <c r="E49" s="36"/>
      <c r="F49" s="36"/>
      <c r="G49" s="36"/>
      <c r="H49" s="36"/>
      <c r="I49" s="36"/>
      <c r="J49" s="36"/>
      <c r="K49" s="36"/>
      <c r="L49" s="36"/>
      <c r="M49" s="36"/>
      <c r="N49" s="36"/>
      <c r="O49" s="37"/>
      <c r="P49" s="37"/>
      <c r="Q49" s="57"/>
    </row>
    <row r="50" spans="5:17" s="1" customFormat="1" x14ac:dyDescent="0.3">
      <c r="E50" s="36"/>
      <c r="F50" s="36"/>
      <c r="G50" s="36"/>
      <c r="H50" s="36"/>
      <c r="I50" s="36"/>
      <c r="J50" s="36"/>
      <c r="K50" s="36"/>
      <c r="L50" s="36"/>
      <c r="M50" s="36"/>
      <c r="N50" s="36"/>
      <c r="O50" s="37"/>
      <c r="P50" s="37"/>
      <c r="Q50" s="57"/>
    </row>
    <row r="51" spans="5:17" s="1" customFormat="1" x14ac:dyDescent="0.3">
      <c r="E51" s="36"/>
      <c r="F51" s="36"/>
      <c r="G51" s="36"/>
      <c r="H51" s="36"/>
      <c r="I51" s="36"/>
      <c r="J51" s="36"/>
      <c r="K51" s="36"/>
      <c r="L51" s="36"/>
      <c r="M51" s="36"/>
      <c r="N51" s="36"/>
      <c r="O51" s="37"/>
      <c r="P51" s="37"/>
      <c r="Q51" s="57"/>
    </row>
    <row r="52" spans="5:17" s="1" customFormat="1" x14ac:dyDescent="0.3">
      <c r="E52" s="36"/>
      <c r="F52" s="36"/>
      <c r="G52" s="36"/>
      <c r="H52" s="36"/>
      <c r="I52" s="36"/>
      <c r="J52" s="36"/>
      <c r="K52" s="36"/>
      <c r="L52" s="36"/>
      <c r="M52" s="36"/>
      <c r="N52" s="36"/>
      <c r="O52" s="37"/>
      <c r="P52" s="37"/>
      <c r="Q52" s="57"/>
    </row>
    <row r="53" spans="5:17" s="1" customFormat="1" x14ac:dyDescent="0.3">
      <c r="E53" s="36"/>
      <c r="F53" s="36"/>
      <c r="G53" s="36"/>
      <c r="H53" s="36"/>
      <c r="I53" s="36"/>
      <c r="J53" s="36"/>
      <c r="K53" s="36"/>
      <c r="L53" s="36"/>
      <c r="M53" s="36"/>
      <c r="N53" s="36"/>
      <c r="O53" s="37"/>
      <c r="P53" s="37"/>
      <c r="Q53" s="57"/>
    </row>
    <row r="54" spans="5:17" s="1" customFormat="1" x14ac:dyDescent="0.3">
      <c r="E54" s="36"/>
      <c r="F54" s="36"/>
      <c r="G54" s="36"/>
      <c r="H54" s="36"/>
      <c r="I54" s="36"/>
      <c r="J54" s="36"/>
      <c r="K54" s="36"/>
      <c r="L54" s="36"/>
      <c r="M54" s="36"/>
      <c r="N54" s="36"/>
      <c r="O54" s="37"/>
      <c r="P54" s="37"/>
      <c r="Q54" s="57"/>
    </row>
    <row r="55" spans="5:17" s="1" customFormat="1" x14ac:dyDescent="0.3">
      <c r="E55" s="36"/>
      <c r="F55" s="36"/>
      <c r="G55" s="36"/>
      <c r="H55" s="36"/>
      <c r="I55" s="36"/>
      <c r="J55" s="36"/>
      <c r="K55" s="36"/>
      <c r="L55" s="36"/>
      <c r="M55" s="36"/>
      <c r="N55" s="36"/>
      <c r="O55" s="37"/>
      <c r="P55" s="37"/>
      <c r="Q55" s="57"/>
    </row>
    <row r="56" spans="5:17" s="1" customFormat="1" x14ac:dyDescent="0.3">
      <c r="E56" s="36"/>
      <c r="F56" s="36"/>
      <c r="G56" s="36"/>
      <c r="H56" s="36"/>
      <c r="I56" s="36"/>
      <c r="J56" s="36"/>
      <c r="K56" s="36"/>
      <c r="L56" s="36"/>
      <c r="M56" s="36"/>
      <c r="N56" s="36"/>
      <c r="O56" s="37"/>
      <c r="P56" s="37"/>
      <c r="Q56" s="57"/>
    </row>
    <row r="57" spans="5:17" s="1" customFormat="1" x14ac:dyDescent="0.3">
      <c r="E57" s="36"/>
      <c r="F57" s="36"/>
      <c r="G57" s="36"/>
      <c r="H57" s="36"/>
      <c r="I57" s="36"/>
      <c r="J57" s="36"/>
      <c r="K57" s="36"/>
      <c r="L57" s="36"/>
      <c r="M57" s="36"/>
      <c r="N57" s="36"/>
      <c r="O57" s="37"/>
      <c r="P57" s="37"/>
      <c r="Q57" s="57"/>
    </row>
    <row r="58" spans="5:17" s="1" customFormat="1" x14ac:dyDescent="0.3">
      <c r="E58" s="36"/>
      <c r="F58" s="36"/>
      <c r="G58" s="36"/>
      <c r="H58" s="36"/>
      <c r="I58" s="36"/>
      <c r="J58" s="36"/>
      <c r="K58" s="36"/>
      <c r="L58" s="36"/>
      <c r="M58" s="36"/>
      <c r="N58" s="36"/>
      <c r="O58" s="37"/>
      <c r="P58" s="37"/>
      <c r="Q58" s="57"/>
    </row>
    <row r="59" spans="5:17" s="1" customFormat="1" x14ac:dyDescent="0.3">
      <c r="E59" s="36"/>
      <c r="F59" s="36"/>
      <c r="G59" s="36"/>
      <c r="H59" s="36"/>
      <c r="I59" s="36"/>
      <c r="J59" s="36"/>
      <c r="K59" s="36"/>
      <c r="L59" s="36"/>
      <c r="M59" s="36"/>
      <c r="N59" s="36"/>
      <c r="O59" s="37"/>
      <c r="P59" s="37"/>
      <c r="Q59" s="57"/>
    </row>
    <row r="60" spans="5:17" s="1" customFormat="1" x14ac:dyDescent="0.3">
      <c r="E60" s="36"/>
      <c r="F60" s="36"/>
      <c r="G60" s="36"/>
      <c r="H60" s="36"/>
      <c r="I60" s="36"/>
      <c r="J60" s="36"/>
      <c r="K60" s="36"/>
      <c r="L60" s="36"/>
      <c r="M60" s="36"/>
      <c r="N60" s="36"/>
      <c r="O60" s="37"/>
      <c r="P60" s="37"/>
      <c r="Q60" s="57"/>
    </row>
    <row r="61" spans="5:17" s="1" customFormat="1" x14ac:dyDescent="0.3"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7"/>
      <c r="P61" s="37"/>
      <c r="Q61" s="57"/>
    </row>
    <row r="62" spans="5:17" s="1" customFormat="1" x14ac:dyDescent="0.3"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7"/>
      <c r="P62" s="37"/>
      <c r="Q62" s="57"/>
    </row>
    <row r="63" spans="5:17" s="1" customFormat="1" x14ac:dyDescent="0.3"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7"/>
      <c r="P63" s="37"/>
      <c r="Q63" s="57"/>
    </row>
    <row r="64" spans="5:17" s="1" customFormat="1" x14ac:dyDescent="0.3">
      <c r="E64" s="36"/>
      <c r="F64" s="36"/>
      <c r="G64" s="36"/>
      <c r="H64" s="36"/>
      <c r="I64" s="36"/>
      <c r="J64" s="36"/>
      <c r="K64" s="36"/>
      <c r="L64" s="36"/>
      <c r="M64" s="36"/>
      <c r="N64" s="36"/>
      <c r="O64" s="37"/>
      <c r="P64" s="37"/>
      <c r="Q64" s="57"/>
    </row>
    <row r="65" spans="5:17" s="1" customFormat="1" x14ac:dyDescent="0.3">
      <c r="E65" s="36"/>
      <c r="F65" s="36"/>
      <c r="G65" s="36"/>
      <c r="H65" s="36"/>
      <c r="I65" s="36"/>
      <c r="J65" s="36"/>
      <c r="K65" s="36"/>
      <c r="L65" s="36"/>
      <c r="M65" s="36"/>
      <c r="N65" s="36"/>
      <c r="O65" s="37"/>
      <c r="P65" s="37"/>
      <c r="Q65" s="57"/>
    </row>
    <row r="66" spans="5:17" s="1" customFormat="1" x14ac:dyDescent="0.3">
      <c r="E66" s="36"/>
      <c r="F66" s="36"/>
      <c r="G66" s="36"/>
      <c r="H66" s="36"/>
      <c r="I66" s="36"/>
      <c r="J66" s="36"/>
      <c r="K66" s="36"/>
      <c r="L66" s="36"/>
      <c r="M66" s="36"/>
      <c r="N66" s="36"/>
      <c r="O66" s="37"/>
      <c r="P66" s="37"/>
      <c r="Q66" s="57"/>
    </row>
    <row r="67" spans="5:17" s="1" customFormat="1" x14ac:dyDescent="0.3">
      <c r="E67" s="36"/>
      <c r="F67" s="36"/>
      <c r="G67" s="36"/>
      <c r="H67" s="36"/>
      <c r="I67" s="36"/>
      <c r="J67" s="36"/>
      <c r="K67" s="36"/>
      <c r="L67" s="36"/>
      <c r="M67" s="36"/>
      <c r="N67" s="36"/>
      <c r="O67" s="37"/>
      <c r="P67" s="37"/>
      <c r="Q67" s="57"/>
    </row>
    <row r="68" spans="5:17" s="1" customFormat="1" x14ac:dyDescent="0.3">
      <c r="E68" s="36"/>
      <c r="F68" s="36"/>
      <c r="G68" s="36"/>
      <c r="H68" s="36"/>
      <c r="I68" s="36"/>
      <c r="J68" s="36"/>
      <c r="K68" s="36"/>
      <c r="L68" s="36"/>
      <c r="M68" s="36"/>
      <c r="N68" s="36"/>
      <c r="O68" s="37"/>
      <c r="P68" s="37"/>
      <c r="Q68" s="57"/>
    </row>
    <row r="69" spans="5:17" s="1" customFormat="1" x14ac:dyDescent="0.3">
      <c r="E69" s="36"/>
      <c r="F69" s="36"/>
      <c r="G69" s="36"/>
      <c r="H69" s="36"/>
      <c r="I69" s="36"/>
      <c r="J69" s="36"/>
      <c r="K69" s="36"/>
      <c r="L69" s="36"/>
      <c r="M69" s="36"/>
      <c r="N69" s="36"/>
      <c r="O69" s="37"/>
      <c r="P69" s="37"/>
      <c r="Q69" s="57"/>
    </row>
    <row r="70" spans="5:17" s="1" customFormat="1" x14ac:dyDescent="0.3">
      <c r="E70" s="36"/>
      <c r="F70" s="36"/>
      <c r="G70" s="36"/>
      <c r="H70" s="36"/>
      <c r="I70" s="36"/>
      <c r="J70" s="36"/>
      <c r="K70" s="36"/>
      <c r="L70" s="36"/>
      <c r="M70" s="36"/>
      <c r="N70" s="36"/>
      <c r="O70" s="37"/>
      <c r="P70" s="37"/>
      <c r="Q70" s="57"/>
    </row>
    <row r="71" spans="5:17" s="1" customFormat="1" x14ac:dyDescent="0.3">
      <c r="E71" s="36"/>
      <c r="F71" s="36"/>
      <c r="G71" s="36"/>
      <c r="H71" s="36"/>
      <c r="I71" s="36"/>
      <c r="J71" s="36"/>
      <c r="K71" s="36"/>
      <c r="L71" s="36"/>
      <c r="M71" s="36"/>
      <c r="N71" s="36"/>
      <c r="O71" s="37"/>
      <c r="P71" s="37"/>
      <c r="Q71" s="57"/>
    </row>
    <row r="72" spans="5:17" s="1" customFormat="1" x14ac:dyDescent="0.3">
      <c r="E72" s="36"/>
      <c r="F72" s="36"/>
      <c r="G72" s="36"/>
      <c r="H72" s="36"/>
      <c r="I72" s="36"/>
      <c r="J72" s="36"/>
      <c r="K72" s="36"/>
      <c r="L72" s="36"/>
      <c r="M72" s="36"/>
      <c r="N72" s="36"/>
      <c r="O72" s="37"/>
      <c r="P72" s="37"/>
      <c r="Q72" s="57"/>
    </row>
    <row r="73" spans="5:17" s="1" customFormat="1" x14ac:dyDescent="0.3">
      <c r="E73" s="36"/>
      <c r="F73" s="36"/>
      <c r="G73" s="36"/>
      <c r="H73" s="36"/>
      <c r="I73" s="36"/>
      <c r="J73" s="36"/>
      <c r="K73" s="36"/>
      <c r="L73" s="36"/>
      <c r="M73" s="36"/>
      <c r="N73" s="36"/>
      <c r="O73" s="37"/>
      <c r="P73" s="37"/>
      <c r="Q73" s="57"/>
    </row>
    <row r="74" spans="5:17" s="1" customFormat="1" x14ac:dyDescent="0.3">
      <c r="E74" s="36"/>
      <c r="F74" s="36"/>
      <c r="G74" s="36"/>
      <c r="H74" s="36"/>
      <c r="I74" s="36"/>
      <c r="J74" s="36"/>
      <c r="K74" s="36"/>
      <c r="L74" s="36"/>
      <c r="M74" s="36"/>
      <c r="N74" s="36"/>
      <c r="O74" s="37"/>
      <c r="P74" s="37"/>
      <c r="Q74" s="57"/>
    </row>
    <row r="75" spans="5:17" s="1" customFormat="1" x14ac:dyDescent="0.3">
      <c r="E75" s="36"/>
      <c r="F75" s="36"/>
      <c r="G75" s="36"/>
      <c r="H75" s="36"/>
      <c r="I75" s="36"/>
      <c r="J75" s="36"/>
      <c r="K75" s="36"/>
      <c r="L75" s="36"/>
      <c r="M75" s="36"/>
      <c r="N75" s="36"/>
      <c r="O75" s="37"/>
      <c r="P75" s="37"/>
      <c r="Q75" s="57"/>
    </row>
    <row r="76" spans="5:17" s="1" customFormat="1" x14ac:dyDescent="0.3">
      <c r="E76" s="36"/>
      <c r="F76" s="36"/>
      <c r="G76" s="36"/>
      <c r="H76" s="36"/>
      <c r="I76" s="36"/>
      <c r="J76" s="36"/>
      <c r="K76" s="36"/>
      <c r="L76" s="36"/>
      <c r="M76" s="36"/>
      <c r="N76" s="36"/>
      <c r="O76" s="37"/>
      <c r="P76" s="37"/>
      <c r="Q76" s="57"/>
    </row>
    <row r="77" spans="5:17" s="1" customFormat="1" x14ac:dyDescent="0.3">
      <c r="E77" s="36"/>
      <c r="F77" s="36"/>
      <c r="G77" s="36"/>
      <c r="H77" s="36"/>
      <c r="I77" s="36"/>
      <c r="J77" s="36"/>
      <c r="K77" s="36"/>
      <c r="L77" s="36"/>
      <c r="M77" s="36"/>
      <c r="N77" s="36"/>
      <c r="O77" s="37"/>
      <c r="P77" s="37"/>
      <c r="Q77" s="57"/>
    </row>
    <row r="78" spans="5:17" s="1" customFormat="1" x14ac:dyDescent="0.3"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7"/>
      <c r="P78" s="37"/>
      <c r="Q78" s="57"/>
    </row>
    <row r="79" spans="5:17" s="1" customFormat="1" x14ac:dyDescent="0.3"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7"/>
      <c r="P79" s="37"/>
      <c r="Q79" s="57"/>
    </row>
    <row r="80" spans="5:17" s="1" customFormat="1" x14ac:dyDescent="0.3"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7"/>
      <c r="P80" s="37"/>
      <c r="Q80" s="57"/>
    </row>
    <row r="81" spans="5:17" s="1" customFormat="1" x14ac:dyDescent="0.3"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7"/>
      <c r="P81" s="37"/>
      <c r="Q81" s="57"/>
    </row>
    <row r="82" spans="5:17" s="1" customFormat="1" x14ac:dyDescent="0.3"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7"/>
      <c r="P82" s="37"/>
      <c r="Q82" s="57"/>
    </row>
    <row r="83" spans="5:17" s="1" customFormat="1" x14ac:dyDescent="0.3"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7"/>
      <c r="P83" s="37"/>
      <c r="Q83" s="57"/>
    </row>
    <row r="84" spans="5:17" s="1" customFormat="1" x14ac:dyDescent="0.3"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7"/>
      <c r="P84" s="37"/>
      <c r="Q84" s="57"/>
    </row>
    <row r="85" spans="5:17" s="1" customFormat="1" x14ac:dyDescent="0.3"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7"/>
      <c r="P85" s="37"/>
      <c r="Q85" s="57"/>
    </row>
    <row r="86" spans="5:17" s="1" customFormat="1" x14ac:dyDescent="0.3"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7"/>
      <c r="P86" s="37"/>
      <c r="Q86" s="57"/>
    </row>
    <row r="87" spans="5:17" s="1" customFormat="1" x14ac:dyDescent="0.3">
      <c r="E87" s="36"/>
      <c r="F87" s="36"/>
      <c r="G87" s="36"/>
      <c r="H87" s="36"/>
      <c r="I87" s="36"/>
      <c r="J87" s="36"/>
      <c r="K87" s="36"/>
      <c r="L87" s="36"/>
      <c r="M87" s="36"/>
      <c r="N87" s="36"/>
      <c r="O87" s="37"/>
      <c r="P87" s="37"/>
      <c r="Q87" s="57"/>
    </row>
    <row r="88" spans="5:17" s="1" customFormat="1" x14ac:dyDescent="0.3">
      <c r="E88" s="36"/>
      <c r="F88" s="36"/>
      <c r="G88" s="36"/>
      <c r="H88" s="36"/>
      <c r="I88" s="36"/>
      <c r="J88" s="36"/>
      <c r="K88" s="36"/>
      <c r="L88" s="36"/>
      <c r="M88" s="36"/>
      <c r="N88" s="36"/>
      <c r="O88" s="37"/>
      <c r="P88" s="37"/>
      <c r="Q88" s="57"/>
    </row>
    <row r="89" spans="5:17" s="1" customFormat="1" x14ac:dyDescent="0.3">
      <c r="E89" s="36"/>
      <c r="F89" s="36"/>
      <c r="G89" s="36"/>
      <c r="H89" s="36"/>
      <c r="I89" s="36"/>
      <c r="J89" s="36"/>
      <c r="K89" s="36"/>
      <c r="L89" s="36"/>
      <c r="M89" s="36"/>
      <c r="N89" s="36"/>
      <c r="O89" s="37"/>
      <c r="P89" s="37"/>
      <c r="Q89" s="57"/>
    </row>
    <row r="90" spans="5:17" s="1" customFormat="1" x14ac:dyDescent="0.3">
      <c r="E90" s="36"/>
      <c r="F90" s="36"/>
      <c r="G90" s="36"/>
      <c r="H90" s="36"/>
      <c r="I90" s="36"/>
      <c r="J90" s="36"/>
      <c r="K90" s="36"/>
      <c r="L90" s="36"/>
      <c r="M90" s="36"/>
      <c r="N90" s="36"/>
      <c r="O90" s="37"/>
      <c r="P90" s="37"/>
      <c r="Q90" s="57"/>
    </row>
    <row r="91" spans="5:17" s="1" customFormat="1" x14ac:dyDescent="0.3">
      <c r="E91" s="36"/>
      <c r="F91" s="36"/>
      <c r="G91" s="36"/>
      <c r="H91" s="36"/>
      <c r="I91" s="36"/>
      <c r="J91" s="36"/>
      <c r="K91" s="36"/>
      <c r="L91" s="36"/>
      <c r="M91" s="36"/>
      <c r="N91" s="36"/>
      <c r="O91" s="37"/>
      <c r="P91" s="37"/>
      <c r="Q91" s="57"/>
    </row>
    <row r="92" spans="5:17" s="1" customFormat="1" x14ac:dyDescent="0.3">
      <c r="E92" s="36"/>
      <c r="F92" s="36"/>
      <c r="G92" s="36"/>
      <c r="H92" s="36"/>
      <c r="I92" s="36"/>
      <c r="J92" s="36"/>
      <c r="K92" s="36"/>
      <c r="L92" s="36"/>
      <c r="M92" s="36"/>
      <c r="N92" s="36"/>
      <c r="O92" s="37"/>
      <c r="P92" s="37"/>
      <c r="Q92" s="57"/>
    </row>
    <row r="93" spans="5:17" s="1" customFormat="1" x14ac:dyDescent="0.3">
      <c r="E93" s="36"/>
      <c r="F93" s="36"/>
      <c r="G93" s="36"/>
      <c r="H93" s="36"/>
      <c r="I93" s="36"/>
      <c r="J93" s="36"/>
      <c r="K93" s="36"/>
      <c r="L93" s="36"/>
      <c r="M93" s="36"/>
      <c r="N93" s="36"/>
      <c r="O93" s="37"/>
      <c r="P93" s="37"/>
      <c r="Q93" s="57"/>
    </row>
    <row r="94" spans="5:17" s="1" customFormat="1" x14ac:dyDescent="0.3">
      <c r="E94" s="36"/>
      <c r="F94" s="36"/>
      <c r="G94" s="36"/>
      <c r="H94" s="36"/>
      <c r="I94" s="36"/>
      <c r="J94" s="36"/>
      <c r="K94" s="36"/>
      <c r="L94" s="36"/>
      <c r="M94" s="36"/>
      <c r="N94" s="36"/>
      <c r="O94" s="37"/>
      <c r="P94" s="37"/>
      <c r="Q94" s="57"/>
    </row>
    <row r="95" spans="5:17" s="1" customFormat="1" x14ac:dyDescent="0.3">
      <c r="E95" s="36"/>
      <c r="F95" s="36"/>
      <c r="G95" s="36"/>
      <c r="H95" s="36"/>
      <c r="I95" s="36"/>
      <c r="J95" s="36"/>
      <c r="K95" s="36"/>
      <c r="L95" s="36"/>
      <c r="M95" s="36"/>
      <c r="N95" s="36"/>
      <c r="O95" s="37"/>
      <c r="P95" s="37"/>
      <c r="Q95" s="57"/>
    </row>
    <row r="96" spans="5:17" s="1" customFormat="1" x14ac:dyDescent="0.3">
      <c r="E96" s="36"/>
      <c r="F96" s="36"/>
      <c r="G96" s="36"/>
      <c r="H96" s="36"/>
      <c r="I96" s="36"/>
      <c r="J96" s="36"/>
      <c r="K96" s="36"/>
      <c r="L96" s="36"/>
      <c r="M96" s="36"/>
      <c r="N96" s="36"/>
      <c r="O96" s="37"/>
      <c r="P96" s="37"/>
      <c r="Q96" s="57"/>
    </row>
    <row r="97" spans="5:17" s="1" customFormat="1" x14ac:dyDescent="0.3">
      <c r="E97" s="36"/>
      <c r="F97" s="36"/>
      <c r="G97" s="36"/>
      <c r="H97" s="36"/>
      <c r="I97" s="36"/>
      <c r="J97" s="36"/>
      <c r="K97" s="36"/>
      <c r="L97" s="36"/>
      <c r="M97" s="36"/>
      <c r="N97" s="36"/>
      <c r="O97" s="37"/>
      <c r="P97" s="37"/>
      <c r="Q97" s="57"/>
    </row>
    <row r="98" spans="5:17" s="1" customFormat="1" x14ac:dyDescent="0.3">
      <c r="E98" s="36"/>
      <c r="F98" s="36"/>
      <c r="G98" s="36"/>
      <c r="H98" s="36"/>
      <c r="I98" s="36"/>
      <c r="J98" s="36"/>
      <c r="K98" s="36"/>
      <c r="L98" s="36"/>
      <c r="M98" s="36"/>
      <c r="N98" s="36"/>
      <c r="O98" s="37"/>
      <c r="P98" s="37"/>
      <c r="Q98" s="57"/>
    </row>
    <row r="99" spans="5:17" s="1" customFormat="1" x14ac:dyDescent="0.3">
      <c r="E99" s="36"/>
      <c r="F99" s="36"/>
      <c r="G99" s="36"/>
      <c r="H99" s="36"/>
      <c r="I99" s="36"/>
      <c r="J99" s="36"/>
      <c r="K99" s="36"/>
      <c r="L99" s="36"/>
      <c r="M99" s="36"/>
      <c r="N99" s="36"/>
      <c r="O99" s="37"/>
      <c r="P99" s="37"/>
      <c r="Q99" s="57"/>
    </row>
    <row r="100" spans="5:17" s="1" customFormat="1" x14ac:dyDescent="0.3">
      <c r="E100" s="36"/>
      <c r="F100" s="36"/>
      <c r="G100" s="36"/>
      <c r="H100" s="36"/>
      <c r="I100" s="36"/>
      <c r="J100" s="36"/>
      <c r="K100" s="36"/>
      <c r="L100" s="36"/>
      <c r="M100" s="36"/>
      <c r="N100" s="36"/>
      <c r="O100" s="37"/>
      <c r="P100" s="37"/>
      <c r="Q100" s="57"/>
    </row>
    <row r="101" spans="5:17" s="1" customFormat="1" x14ac:dyDescent="0.3">
      <c r="E101" s="36"/>
      <c r="F101" s="36"/>
      <c r="G101" s="36"/>
      <c r="H101" s="36"/>
      <c r="I101" s="36"/>
      <c r="J101" s="36"/>
      <c r="K101" s="36"/>
      <c r="L101" s="36"/>
      <c r="M101" s="36"/>
      <c r="N101" s="36"/>
      <c r="O101" s="37"/>
      <c r="P101" s="37"/>
      <c r="Q101" s="57"/>
    </row>
    <row r="102" spans="5:17" s="1" customFormat="1" x14ac:dyDescent="0.3">
      <c r="E102" s="36"/>
      <c r="F102" s="36"/>
      <c r="G102" s="36"/>
      <c r="H102" s="36"/>
      <c r="I102" s="36"/>
      <c r="J102" s="36"/>
      <c r="K102" s="36"/>
      <c r="L102" s="36"/>
      <c r="M102" s="36"/>
      <c r="N102" s="36"/>
      <c r="O102" s="37"/>
      <c r="P102" s="37"/>
      <c r="Q102" s="57"/>
    </row>
    <row r="103" spans="5:17" s="1" customFormat="1" x14ac:dyDescent="0.3">
      <c r="E103" s="36"/>
      <c r="F103" s="36"/>
      <c r="G103" s="36"/>
      <c r="H103" s="36"/>
      <c r="I103" s="36"/>
      <c r="J103" s="36"/>
      <c r="K103" s="36"/>
      <c r="L103" s="36"/>
      <c r="M103" s="36"/>
      <c r="N103" s="36"/>
      <c r="O103" s="37"/>
      <c r="P103" s="37"/>
      <c r="Q103" s="57"/>
    </row>
    <row r="104" spans="5:17" s="1" customFormat="1" x14ac:dyDescent="0.3">
      <c r="E104" s="36"/>
      <c r="F104" s="36"/>
      <c r="G104" s="36"/>
      <c r="H104" s="36"/>
      <c r="I104" s="36"/>
      <c r="J104" s="36"/>
      <c r="K104" s="36"/>
      <c r="L104" s="36"/>
      <c r="M104" s="36"/>
      <c r="N104" s="36"/>
      <c r="O104" s="37"/>
      <c r="P104" s="37"/>
      <c r="Q104" s="57"/>
    </row>
    <row r="105" spans="5:17" s="1" customFormat="1" x14ac:dyDescent="0.3">
      <c r="E105" s="36"/>
      <c r="F105" s="36"/>
      <c r="G105" s="36"/>
      <c r="H105" s="36"/>
      <c r="I105" s="36"/>
      <c r="J105" s="36"/>
      <c r="K105" s="36"/>
      <c r="L105" s="36"/>
      <c r="M105" s="36"/>
      <c r="N105" s="36"/>
      <c r="O105" s="37"/>
      <c r="P105" s="37"/>
      <c r="Q105" s="57"/>
    </row>
    <row r="106" spans="5:17" s="1" customFormat="1" x14ac:dyDescent="0.3">
      <c r="E106" s="36"/>
      <c r="F106" s="36"/>
      <c r="G106" s="36"/>
      <c r="H106" s="36"/>
      <c r="I106" s="36"/>
      <c r="J106" s="36"/>
      <c r="K106" s="36"/>
      <c r="L106" s="36"/>
      <c r="M106" s="36"/>
      <c r="N106" s="36"/>
      <c r="O106" s="37"/>
      <c r="P106" s="37"/>
      <c r="Q106" s="57"/>
    </row>
    <row r="107" spans="5:17" s="1" customFormat="1" x14ac:dyDescent="0.3">
      <c r="E107" s="36"/>
      <c r="F107" s="36"/>
      <c r="G107" s="36"/>
      <c r="H107" s="36"/>
      <c r="I107" s="36"/>
      <c r="J107" s="36"/>
      <c r="K107" s="36"/>
      <c r="L107" s="36"/>
      <c r="M107" s="36"/>
      <c r="N107" s="36"/>
      <c r="O107" s="37"/>
      <c r="P107" s="37"/>
      <c r="Q107" s="57"/>
    </row>
    <row r="108" spans="5:17" s="1" customFormat="1" x14ac:dyDescent="0.3">
      <c r="E108" s="36"/>
      <c r="F108" s="36"/>
      <c r="G108" s="36"/>
      <c r="H108" s="36"/>
      <c r="I108" s="36"/>
      <c r="J108" s="36"/>
      <c r="K108" s="36"/>
      <c r="L108" s="36"/>
      <c r="M108" s="36"/>
      <c r="N108" s="36"/>
      <c r="O108" s="37"/>
      <c r="P108" s="37"/>
      <c r="Q108" s="57"/>
    </row>
    <row r="109" spans="5:17" s="1" customFormat="1" x14ac:dyDescent="0.3">
      <c r="E109" s="36"/>
      <c r="F109" s="36"/>
      <c r="G109" s="36"/>
      <c r="H109" s="36"/>
      <c r="I109" s="36"/>
      <c r="J109" s="36"/>
      <c r="K109" s="36"/>
      <c r="L109" s="36"/>
      <c r="M109" s="36"/>
      <c r="N109" s="36"/>
      <c r="O109" s="37"/>
      <c r="P109" s="37"/>
      <c r="Q109" s="57"/>
    </row>
    <row r="110" spans="5:17" s="1" customFormat="1" x14ac:dyDescent="0.3">
      <c r="E110" s="36"/>
      <c r="F110" s="36"/>
      <c r="G110" s="36"/>
      <c r="H110" s="36"/>
      <c r="I110" s="36"/>
      <c r="J110" s="36"/>
      <c r="K110" s="36"/>
      <c r="L110" s="36"/>
      <c r="M110" s="36"/>
      <c r="N110" s="36"/>
      <c r="O110" s="37"/>
      <c r="P110" s="37"/>
      <c r="Q110" s="57"/>
    </row>
    <row r="111" spans="5:17" s="1" customFormat="1" x14ac:dyDescent="0.3">
      <c r="E111" s="36"/>
      <c r="F111" s="36"/>
      <c r="G111" s="36"/>
      <c r="H111" s="36"/>
      <c r="I111" s="36"/>
      <c r="J111" s="36"/>
      <c r="K111" s="36"/>
      <c r="L111" s="36"/>
      <c r="M111" s="36"/>
      <c r="N111" s="36"/>
      <c r="O111" s="37"/>
      <c r="P111" s="37"/>
      <c r="Q111" s="57"/>
    </row>
    <row r="112" spans="5:17" s="1" customFormat="1" x14ac:dyDescent="0.3">
      <c r="E112" s="36"/>
      <c r="F112" s="36"/>
      <c r="G112" s="36"/>
      <c r="H112" s="36"/>
      <c r="I112" s="36"/>
      <c r="J112" s="36"/>
      <c r="K112" s="36"/>
      <c r="L112" s="36"/>
      <c r="M112" s="36"/>
      <c r="N112" s="36"/>
      <c r="O112" s="37"/>
      <c r="P112" s="37"/>
      <c r="Q112" s="57"/>
    </row>
    <row r="113" spans="5:17" s="1" customFormat="1" x14ac:dyDescent="0.3">
      <c r="E113" s="36"/>
      <c r="F113" s="36"/>
      <c r="G113" s="36"/>
      <c r="H113" s="36"/>
      <c r="I113" s="36"/>
      <c r="J113" s="36"/>
      <c r="K113" s="36"/>
      <c r="L113" s="36"/>
      <c r="M113" s="36"/>
      <c r="N113" s="36"/>
      <c r="O113" s="37"/>
      <c r="P113" s="37"/>
      <c r="Q113" s="57"/>
    </row>
    <row r="114" spans="5:17" s="1" customFormat="1" x14ac:dyDescent="0.3">
      <c r="E114" s="36"/>
      <c r="F114" s="36"/>
      <c r="G114" s="36"/>
      <c r="H114" s="36"/>
      <c r="I114" s="36"/>
      <c r="J114" s="36"/>
      <c r="K114" s="36"/>
      <c r="L114" s="36"/>
      <c r="M114" s="36"/>
      <c r="N114" s="36"/>
      <c r="O114" s="37"/>
      <c r="P114" s="37"/>
      <c r="Q114" s="57"/>
    </row>
    <row r="115" spans="5:17" s="1" customFormat="1" x14ac:dyDescent="0.3">
      <c r="E115" s="36"/>
      <c r="F115" s="36"/>
      <c r="G115" s="36"/>
      <c r="H115" s="36"/>
      <c r="I115" s="36"/>
      <c r="J115" s="36"/>
      <c r="K115" s="36"/>
      <c r="L115" s="36"/>
      <c r="M115" s="36"/>
      <c r="N115" s="36"/>
      <c r="O115" s="37"/>
      <c r="P115" s="37"/>
      <c r="Q115" s="57"/>
    </row>
    <row r="116" spans="5:17" s="1" customFormat="1" x14ac:dyDescent="0.3">
      <c r="E116" s="36"/>
      <c r="F116" s="36"/>
      <c r="G116" s="36"/>
      <c r="H116" s="36"/>
      <c r="I116" s="36"/>
      <c r="J116" s="36"/>
      <c r="K116" s="36"/>
      <c r="L116" s="36"/>
      <c r="M116" s="36"/>
      <c r="N116" s="36"/>
      <c r="O116" s="37"/>
      <c r="P116" s="37"/>
      <c r="Q116" s="57"/>
    </row>
    <row r="117" spans="5:17" s="1" customFormat="1" x14ac:dyDescent="0.3">
      <c r="E117" s="36"/>
      <c r="F117" s="36"/>
      <c r="G117" s="36"/>
      <c r="H117" s="36"/>
      <c r="I117" s="36"/>
      <c r="J117" s="36"/>
      <c r="K117" s="36"/>
      <c r="L117" s="36"/>
      <c r="M117" s="36"/>
      <c r="N117" s="36"/>
      <c r="O117" s="37"/>
      <c r="P117" s="37"/>
      <c r="Q117" s="57"/>
    </row>
    <row r="118" spans="5:17" s="1" customFormat="1" x14ac:dyDescent="0.3">
      <c r="E118" s="36"/>
      <c r="F118" s="36"/>
      <c r="G118" s="36"/>
      <c r="H118" s="36"/>
      <c r="I118" s="36"/>
      <c r="J118" s="36"/>
      <c r="K118" s="36"/>
      <c r="L118" s="36"/>
      <c r="M118" s="36"/>
      <c r="N118" s="36"/>
      <c r="O118" s="37"/>
      <c r="P118" s="37"/>
      <c r="Q118" s="57"/>
    </row>
    <row r="119" spans="5:17" s="1" customFormat="1" x14ac:dyDescent="0.3">
      <c r="E119" s="36"/>
      <c r="F119" s="36"/>
      <c r="G119" s="36"/>
      <c r="H119" s="36"/>
      <c r="I119" s="36"/>
      <c r="J119" s="36"/>
      <c r="K119" s="36"/>
      <c r="L119" s="36"/>
      <c r="M119" s="36"/>
      <c r="N119" s="36"/>
      <c r="O119" s="37"/>
      <c r="P119" s="37"/>
      <c r="Q119" s="57"/>
    </row>
    <row r="120" spans="5:17" s="1" customFormat="1" x14ac:dyDescent="0.3">
      <c r="E120" s="36"/>
      <c r="F120" s="36"/>
      <c r="G120" s="36"/>
      <c r="H120" s="36"/>
      <c r="I120" s="36"/>
      <c r="J120" s="36"/>
      <c r="K120" s="36"/>
      <c r="L120" s="36"/>
      <c r="M120" s="36"/>
      <c r="N120" s="36"/>
      <c r="O120" s="37"/>
      <c r="P120" s="37"/>
      <c r="Q120" s="57"/>
    </row>
    <row r="121" spans="5:17" s="1" customFormat="1" x14ac:dyDescent="0.3">
      <c r="E121" s="36"/>
      <c r="F121" s="36"/>
      <c r="G121" s="36"/>
      <c r="H121" s="36"/>
      <c r="I121" s="36"/>
      <c r="J121" s="36"/>
      <c r="K121" s="36"/>
      <c r="L121" s="36"/>
      <c r="M121" s="36"/>
      <c r="N121" s="36"/>
      <c r="O121" s="37"/>
      <c r="P121" s="37"/>
      <c r="Q121" s="57"/>
    </row>
    <row r="122" spans="5:17" s="1" customFormat="1" x14ac:dyDescent="0.3">
      <c r="E122" s="36"/>
      <c r="F122" s="36"/>
      <c r="G122" s="36"/>
      <c r="H122" s="36"/>
      <c r="I122" s="36"/>
      <c r="J122" s="36"/>
      <c r="K122" s="36"/>
      <c r="L122" s="36"/>
      <c r="M122" s="36"/>
      <c r="N122" s="36"/>
      <c r="O122" s="37"/>
      <c r="P122" s="37"/>
      <c r="Q122" s="57"/>
    </row>
    <row r="123" spans="5:17" s="1" customFormat="1" x14ac:dyDescent="0.3">
      <c r="E123" s="36"/>
      <c r="F123" s="36"/>
      <c r="G123" s="36"/>
      <c r="H123" s="36"/>
      <c r="I123" s="36"/>
      <c r="J123" s="36"/>
      <c r="K123" s="36"/>
      <c r="L123" s="36"/>
      <c r="M123" s="36"/>
      <c r="N123" s="36"/>
      <c r="O123" s="37"/>
      <c r="P123" s="37"/>
      <c r="Q123" s="57"/>
    </row>
    <row r="124" spans="5:17" s="1" customFormat="1" x14ac:dyDescent="0.3">
      <c r="E124" s="36"/>
      <c r="F124" s="36"/>
      <c r="G124" s="36"/>
      <c r="H124" s="36"/>
      <c r="I124" s="36"/>
      <c r="J124" s="36"/>
      <c r="K124" s="36"/>
      <c r="L124" s="36"/>
      <c r="M124" s="36"/>
      <c r="N124" s="36"/>
      <c r="O124" s="37"/>
      <c r="P124" s="37"/>
      <c r="Q124" s="57"/>
    </row>
    <row r="125" spans="5:17" s="1" customFormat="1" x14ac:dyDescent="0.3">
      <c r="E125" s="36"/>
      <c r="F125" s="36"/>
      <c r="G125" s="36"/>
      <c r="H125" s="36"/>
      <c r="I125" s="36"/>
      <c r="J125" s="36"/>
      <c r="K125" s="36"/>
      <c r="L125" s="36"/>
      <c r="M125" s="36"/>
      <c r="N125" s="36"/>
      <c r="O125" s="37"/>
      <c r="P125" s="37"/>
      <c r="Q125" s="57"/>
    </row>
    <row r="126" spans="5:17" s="1" customFormat="1" x14ac:dyDescent="0.3">
      <c r="E126" s="36"/>
      <c r="F126" s="36"/>
      <c r="G126" s="36"/>
      <c r="H126" s="36"/>
      <c r="I126" s="36"/>
      <c r="J126" s="36"/>
      <c r="K126" s="36"/>
      <c r="L126" s="36"/>
      <c r="M126" s="36"/>
      <c r="N126" s="36"/>
      <c r="O126" s="37"/>
      <c r="P126" s="37"/>
      <c r="Q126" s="57"/>
    </row>
    <row r="127" spans="5:17" s="1" customFormat="1" x14ac:dyDescent="0.3">
      <c r="E127" s="36"/>
      <c r="F127" s="36"/>
      <c r="G127" s="36"/>
      <c r="H127" s="36"/>
      <c r="I127" s="36"/>
      <c r="J127" s="36"/>
      <c r="K127" s="36"/>
      <c r="L127" s="36"/>
      <c r="M127" s="36"/>
      <c r="N127" s="36"/>
      <c r="O127" s="37"/>
      <c r="P127" s="37"/>
      <c r="Q127" s="57"/>
    </row>
    <row r="128" spans="5:17" s="1" customFormat="1" x14ac:dyDescent="0.3">
      <c r="E128" s="36"/>
      <c r="F128" s="36"/>
      <c r="G128" s="36"/>
      <c r="H128" s="36"/>
      <c r="I128" s="36"/>
      <c r="J128" s="36"/>
      <c r="K128" s="36"/>
      <c r="L128" s="36"/>
      <c r="M128" s="36"/>
      <c r="N128" s="36"/>
      <c r="O128" s="37"/>
      <c r="P128" s="37"/>
      <c r="Q128" s="57"/>
    </row>
    <row r="129" spans="5:17" s="1" customFormat="1" x14ac:dyDescent="0.3">
      <c r="E129" s="36"/>
      <c r="F129" s="36"/>
      <c r="G129" s="36"/>
      <c r="H129" s="36"/>
      <c r="I129" s="36"/>
      <c r="J129" s="36"/>
      <c r="K129" s="36"/>
      <c r="L129" s="36"/>
      <c r="M129" s="36"/>
      <c r="N129" s="36"/>
      <c r="O129" s="37"/>
      <c r="P129" s="37"/>
      <c r="Q129" s="57"/>
    </row>
    <row r="130" spans="5:17" s="1" customFormat="1" x14ac:dyDescent="0.3">
      <c r="E130" s="36"/>
      <c r="F130" s="36"/>
      <c r="G130" s="36"/>
      <c r="H130" s="36"/>
      <c r="I130" s="36"/>
      <c r="J130" s="36"/>
      <c r="K130" s="36"/>
      <c r="L130" s="36"/>
      <c r="M130" s="36"/>
      <c r="N130" s="36"/>
      <c r="O130" s="37"/>
      <c r="P130" s="37"/>
      <c r="Q130" s="57"/>
    </row>
    <row r="131" spans="5:17" s="1" customFormat="1" x14ac:dyDescent="0.3">
      <c r="E131" s="36"/>
      <c r="F131" s="36"/>
      <c r="G131" s="36"/>
      <c r="H131" s="36"/>
      <c r="I131" s="36"/>
      <c r="J131" s="36"/>
      <c r="K131" s="36"/>
      <c r="L131" s="36"/>
      <c r="M131" s="36"/>
      <c r="N131" s="36"/>
      <c r="O131" s="37"/>
      <c r="P131" s="37"/>
      <c r="Q131" s="57"/>
    </row>
    <row r="132" spans="5:17" s="1" customFormat="1" x14ac:dyDescent="0.3">
      <c r="E132" s="36"/>
      <c r="F132" s="36"/>
      <c r="G132" s="36"/>
      <c r="H132" s="36"/>
      <c r="I132" s="36"/>
      <c r="J132" s="36"/>
      <c r="K132" s="36"/>
      <c r="L132" s="36"/>
      <c r="M132" s="36"/>
      <c r="N132" s="36"/>
      <c r="O132" s="37"/>
      <c r="P132" s="37"/>
      <c r="Q132" s="57"/>
    </row>
    <row r="133" spans="5:17" s="1" customFormat="1" x14ac:dyDescent="0.3">
      <c r="E133" s="36"/>
      <c r="F133" s="36"/>
      <c r="G133" s="36"/>
      <c r="H133" s="36"/>
      <c r="I133" s="36"/>
      <c r="J133" s="36"/>
      <c r="K133" s="36"/>
      <c r="L133" s="36"/>
      <c r="M133" s="36"/>
      <c r="N133" s="36"/>
      <c r="O133" s="37"/>
      <c r="P133" s="37"/>
      <c r="Q133" s="57"/>
    </row>
    <row r="134" spans="5:17" s="1" customFormat="1" x14ac:dyDescent="0.3">
      <c r="E134" s="36"/>
      <c r="F134" s="36"/>
      <c r="G134" s="36"/>
      <c r="H134" s="36"/>
      <c r="I134" s="36"/>
      <c r="J134" s="36"/>
      <c r="K134" s="36"/>
      <c r="L134" s="36"/>
      <c r="M134" s="36"/>
      <c r="N134" s="36"/>
      <c r="O134" s="37"/>
      <c r="P134" s="37"/>
      <c r="Q134" s="57"/>
    </row>
    <row r="135" spans="5:17" s="1" customFormat="1" x14ac:dyDescent="0.3">
      <c r="E135" s="36"/>
      <c r="F135" s="36"/>
      <c r="G135" s="36"/>
      <c r="H135" s="36"/>
      <c r="I135" s="36"/>
      <c r="J135" s="36"/>
      <c r="K135" s="36"/>
      <c r="L135" s="36"/>
      <c r="M135" s="36"/>
      <c r="N135" s="36"/>
      <c r="O135" s="37"/>
      <c r="P135" s="37"/>
      <c r="Q135" s="57"/>
    </row>
    <row r="136" spans="5:17" s="1" customFormat="1" x14ac:dyDescent="0.3">
      <c r="E136" s="36"/>
      <c r="F136" s="36"/>
      <c r="G136" s="36"/>
      <c r="H136" s="36"/>
      <c r="I136" s="36"/>
      <c r="J136" s="36"/>
      <c r="K136" s="36"/>
      <c r="L136" s="36"/>
      <c r="M136" s="36"/>
      <c r="N136" s="36"/>
      <c r="O136" s="37"/>
      <c r="P136" s="37"/>
      <c r="Q136" s="57"/>
    </row>
    <row r="137" spans="5:17" s="1" customFormat="1" x14ac:dyDescent="0.3">
      <c r="E137" s="36"/>
      <c r="F137" s="36"/>
      <c r="G137" s="36"/>
      <c r="H137" s="36"/>
      <c r="I137" s="36"/>
      <c r="J137" s="36"/>
      <c r="K137" s="36"/>
      <c r="L137" s="36"/>
      <c r="M137" s="36"/>
      <c r="N137" s="36"/>
      <c r="O137" s="37"/>
      <c r="P137" s="37"/>
      <c r="Q137" s="57"/>
    </row>
    <row r="138" spans="5:17" s="1" customFormat="1" x14ac:dyDescent="0.3">
      <c r="E138" s="36"/>
      <c r="F138" s="36"/>
      <c r="G138" s="36"/>
      <c r="H138" s="36"/>
      <c r="I138" s="36"/>
      <c r="J138" s="36"/>
      <c r="K138" s="36"/>
      <c r="L138" s="36"/>
      <c r="M138" s="36"/>
      <c r="N138" s="36"/>
      <c r="O138" s="37"/>
      <c r="P138" s="37"/>
      <c r="Q138" s="57"/>
    </row>
    <row r="139" spans="5:17" s="1" customFormat="1" x14ac:dyDescent="0.3">
      <c r="E139" s="36"/>
      <c r="F139" s="36"/>
      <c r="G139" s="36"/>
      <c r="H139" s="36"/>
      <c r="I139" s="36"/>
      <c r="J139" s="36"/>
      <c r="K139" s="36"/>
      <c r="L139" s="36"/>
      <c r="M139" s="36"/>
      <c r="N139" s="36"/>
      <c r="O139" s="37"/>
      <c r="P139" s="37"/>
      <c r="Q139" s="57"/>
    </row>
    <row r="140" spans="5:17" s="1" customFormat="1" x14ac:dyDescent="0.3">
      <c r="E140" s="36"/>
      <c r="F140" s="36"/>
      <c r="G140" s="36"/>
      <c r="H140" s="36"/>
      <c r="I140" s="36"/>
      <c r="J140" s="36"/>
      <c r="K140" s="36"/>
      <c r="L140" s="36"/>
      <c r="M140" s="36"/>
      <c r="N140" s="36"/>
      <c r="O140" s="37"/>
      <c r="P140" s="37"/>
      <c r="Q140" s="57"/>
    </row>
    <row r="141" spans="5:17" s="1" customFormat="1" x14ac:dyDescent="0.3">
      <c r="E141" s="36"/>
      <c r="F141" s="36"/>
      <c r="G141" s="36"/>
      <c r="H141" s="36"/>
      <c r="I141" s="36"/>
      <c r="J141" s="36"/>
      <c r="K141" s="36"/>
      <c r="L141" s="36"/>
      <c r="M141" s="36"/>
      <c r="N141" s="36"/>
      <c r="O141" s="37"/>
      <c r="P141" s="37"/>
      <c r="Q141" s="57"/>
    </row>
    <row r="142" spans="5:17" s="1" customFormat="1" x14ac:dyDescent="0.3">
      <c r="E142" s="36"/>
      <c r="F142" s="36"/>
      <c r="G142" s="36"/>
      <c r="H142" s="36"/>
      <c r="I142" s="36"/>
      <c r="J142" s="36"/>
      <c r="K142" s="36"/>
      <c r="L142" s="36"/>
      <c r="M142" s="36"/>
      <c r="N142" s="36"/>
      <c r="O142" s="37"/>
      <c r="P142" s="37"/>
      <c r="Q142" s="57"/>
    </row>
    <row r="143" spans="5:17" s="1" customFormat="1" x14ac:dyDescent="0.3">
      <c r="E143" s="36"/>
      <c r="F143" s="36"/>
      <c r="G143" s="36"/>
      <c r="H143" s="36"/>
      <c r="I143" s="36"/>
      <c r="J143" s="36"/>
      <c r="K143" s="36"/>
      <c r="L143" s="36"/>
      <c r="M143" s="36"/>
      <c r="N143" s="36"/>
      <c r="O143" s="37"/>
      <c r="P143" s="37"/>
      <c r="Q143" s="57"/>
    </row>
    <row r="144" spans="5:17" s="1" customFormat="1" x14ac:dyDescent="0.3">
      <c r="E144" s="36"/>
      <c r="F144" s="36"/>
      <c r="G144" s="36"/>
      <c r="H144" s="36"/>
      <c r="I144" s="36"/>
      <c r="J144" s="36"/>
      <c r="K144" s="36"/>
      <c r="L144" s="36"/>
      <c r="M144" s="36"/>
      <c r="N144" s="36"/>
      <c r="O144" s="37"/>
      <c r="P144" s="37"/>
      <c r="Q144" s="57"/>
    </row>
    <row r="145" spans="5:17" s="1" customFormat="1" x14ac:dyDescent="0.3">
      <c r="E145" s="36"/>
      <c r="F145" s="36"/>
      <c r="G145" s="36"/>
      <c r="H145" s="36"/>
      <c r="I145" s="36"/>
      <c r="J145" s="36"/>
      <c r="K145" s="36"/>
      <c r="L145" s="36"/>
      <c r="M145" s="36"/>
      <c r="N145" s="36"/>
      <c r="O145" s="37"/>
      <c r="P145" s="37"/>
      <c r="Q145" s="57"/>
    </row>
    <row r="146" spans="5:17" s="1" customFormat="1" x14ac:dyDescent="0.3">
      <c r="E146" s="36"/>
      <c r="F146" s="36"/>
      <c r="G146" s="36"/>
      <c r="H146" s="36"/>
      <c r="I146" s="36"/>
      <c r="J146" s="36"/>
      <c r="K146" s="36"/>
      <c r="L146" s="36"/>
      <c r="M146" s="36"/>
      <c r="N146" s="36"/>
      <c r="O146" s="37"/>
      <c r="P146" s="37"/>
      <c r="Q146" s="57"/>
    </row>
    <row r="147" spans="5:17" s="1" customFormat="1" x14ac:dyDescent="0.3">
      <c r="E147" s="36"/>
      <c r="F147" s="36"/>
      <c r="G147" s="36"/>
      <c r="H147" s="36"/>
      <c r="I147" s="36"/>
      <c r="J147" s="36"/>
      <c r="K147" s="36"/>
      <c r="L147" s="36"/>
      <c r="M147" s="36"/>
      <c r="N147" s="36"/>
      <c r="O147" s="37"/>
      <c r="P147" s="37"/>
      <c r="Q147" s="57"/>
    </row>
    <row r="148" spans="5:17" s="1" customFormat="1" x14ac:dyDescent="0.3">
      <c r="E148" s="36"/>
      <c r="F148" s="36"/>
      <c r="G148" s="36"/>
      <c r="H148" s="36"/>
      <c r="I148" s="36"/>
      <c r="J148" s="36"/>
      <c r="K148" s="36"/>
      <c r="L148" s="36"/>
      <c r="M148" s="36"/>
      <c r="N148" s="36"/>
      <c r="O148" s="37"/>
      <c r="P148" s="37"/>
      <c r="Q148" s="57"/>
    </row>
    <row r="149" spans="5:17" s="1" customFormat="1" x14ac:dyDescent="0.3">
      <c r="E149" s="36"/>
      <c r="F149" s="36"/>
      <c r="G149" s="36"/>
      <c r="H149" s="36"/>
      <c r="I149" s="36"/>
      <c r="J149" s="36"/>
      <c r="K149" s="36"/>
      <c r="L149" s="36"/>
      <c r="M149" s="36"/>
      <c r="N149" s="36"/>
      <c r="O149" s="37"/>
      <c r="P149" s="37"/>
      <c r="Q149" s="57"/>
    </row>
    <row r="150" spans="5:17" s="1" customFormat="1" x14ac:dyDescent="0.3">
      <c r="E150" s="36"/>
      <c r="F150" s="36"/>
      <c r="G150" s="36"/>
      <c r="H150" s="36"/>
      <c r="I150" s="36"/>
      <c r="J150" s="36"/>
      <c r="K150" s="36"/>
      <c r="L150" s="36"/>
      <c r="M150" s="36"/>
      <c r="N150" s="36"/>
      <c r="O150" s="37"/>
      <c r="P150" s="37"/>
      <c r="Q150" s="57"/>
    </row>
    <row r="151" spans="5:17" s="1" customFormat="1" x14ac:dyDescent="0.3">
      <c r="E151" s="36"/>
      <c r="F151" s="36"/>
      <c r="G151" s="36"/>
      <c r="H151" s="36"/>
      <c r="I151" s="36"/>
      <c r="J151" s="36"/>
      <c r="K151" s="36"/>
      <c r="L151" s="36"/>
      <c r="M151" s="36"/>
      <c r="N151" s="36"/>
      <c r="O151" s="37"/>
      <c r="P151" s="37"/>
      <c r="Q151" s="57"/>
    </row>
    <row r="152" spans="5:17" s="1" customFormat="1" x14ac:dyDescent="0.3">
      <c r="E152" s="36"/>
      <c r="F152" s="36"/>
      <c r="G152" s="36"/>
      <c r="H152" s="36"/>
      <c r="I152" s="36"/>
      <c r="J152" s="36"/>
      <c r="K152" s="36"/>
      <c r="L152" s="36"/>
      <c r="M152" s="36"/>
      <c r="N152" s="36"/>
      <c r="O152" s="37"/>
      <c r="P152" s="37"/>
      <c r="Q152" s="57"/>
    </row>
    <row r="153" spans="5:17" s="1" customFormat="1" x14ac:dyDescent="0.3">
      <c r="E153" s="36"/>
      <c r="F153" s="36"/>
      <c r="G153" s="36"/>
      <c r="H153" s="36"/>
      <c r="I153" s="36"/>
      <c r="J153" s="36"/>
      <c r="K153" s="36"/>
      <c r="L153" s="36"/>
      <c r="M153" s="36"/>
      <c r="N153" s="36"/>
      <c r="O153" s="37"/>
      <c r="P153" s="37"/>
      <c r="Q153" s="57"/>
    </row>
    <row r="154" spans="5:17" s="1" customFormat="1" x14ac:dyDescent="0.3">
      <c r="E154" s="36"/>
      <c r="F154" s="36"/>
      <c r="G154" s="36"/>
      <c r="H154" s="36"/>
      <c r="I154" s="36"/>
      <c r="J154" s="36"/>
      <c r="K154" s="36"/>
      <c r="L154" s="36"/>
      <c r="M154" s="36"/>
      <c r="N154" s="36"/>
      <c r="O154" s="37"/>
      <c r="P154" s="37"/>
      <c r="Q154" s="57"/>
    </row>
    <row r="155" spans="5:17" s="1" customFormat="1" x14ac:dyDescent="0.3">
      <c r="E155" s="36"/>
      <c r="F155" s="36"/>
      <c r="G155" s="36"/>
      <c r="H155" s="36"/>
      <c r="I155" s="36"/>
      <c r="J155" s="36"/>
      <c r="K155" s="36"/>
      <c r="L155" s="36"/>
      <c r="M155" s="36"/>
      <c r="N155" s="36"/>
      <c r="O155" s="37"/>
      <c r="P155" s="37"/>
      <c r="Q155" s="57"/>
    </row>
    <row r="156" spans="5:17" s="1" customFormat="1" x14ac:dyDescent="0.3">
      <c r="E156" s="36"/>
      <c r="F156" s="36"/>
      <c r="G156" s="36"/>
      <c r="H156" s="36"/>
      <c r="I156" s="36"/>
      <c r="J156" s="36"/>
      <c r="K156" s="36"/>
      <c r="L156" s="36"/>
      <c r="M156" s="36"/>
      <c r="N156" s="36"/>
      <c r="O156" s="37"/>
      <c r="P156" s="37"/>
      <c r="Q156" s="57"/>
    </row>
    <row r="157" spans="5:17" s="1" customFormat="1" x14ac:dyDescent="0.3">
      <c r="E157" s="36"/>
      <c r="F157" s="36"/>
      <c r="G157" s="36"/>
      <c r="H157" s="36"/>
      <c r="I157" s="36"/>
      <c r="J157" s="36"/>
      <c r="K157" s="36"/>
      <c r="L157" s="36"/>
      <c r="M157" s="36"/>
      <c r="N157" s="36"/>
      <c r="O157" s="37"/>
      <c r="P157" s="37"/>
      <c r="Q157" s="57"/>
    </row>
    <row r="158" spans="5:17" s="1" customFormat="1" x14ac:dyDescent="0.3">
      <c r="E158" s="36"/>
      <c r="F158" s="36"/>
      <c r="G158" s="36"/>
      <c r="H158" s="36"/>
      <c r="I158" s="36"/>
      <c r="J158" s="36"/>
      <c r="K158" s="36"/>
      <c r="L158" s="36"/>
      <c r="M158" s="36"/>
      <c r="N158" s="36"/>
      <c r="O158" s="37"/>
      <c r="P158" s="37"/>
      <c r="Q158" s="57"/>
    </row>
    <row r="159" spans="5:17" s="1" customFormat="1" x14ac:dyDescent="0.3">
      <c r="E159" s="36"/>
      <c r="F159" s="36"/>
      <c r="G159" s="36"/>
      <c r="H159" s="36"/>
      <c r="I159" s="36"/>
      <c r="J159" s="36"/>
      <c r="K159" s="36"/>
      <c r="L159" s="36"/>
      <c r="M159" s="36"/>
      <c r="N159" s="36"/>
      <c r="O159" s="37"/>
      <c r="P159" s="37"/>
      <c r="Q159" s="57"/>
    </row>
    <row r="160" spans="5:17" s="1" customFormat="1" x14ac:dyDescent="0.3">
      <c r="E160" s="36"/>
      <c r="F160" s="36"/>
      <c r="G160" s="36"/>
      <c r="H160" s="36"/>
      <c r="I160" s="36"/>
      <c r="J160" s="36"/>
      <c r="K160" s="36"/>
      <c r="L160" s="36"/>
      <c r="M160" s="36"/>
      <c r="N160" s="36"/>
      <c r="O160" s="37"/>
      <c r="P160" s="37"/>
      <c r="Q160" s="57"/>
    </row>
    <row r="161" spans="5:17" s="1" customFormat="1" x14ac:dyDescent="0.3">
      <c r="E161" s="36"/>
      <c r="F161" s="36"/>
      <c r="G161" s="36"/>
      <c r="H161" s="36"/>
      <c r="I161" s="36"/>
      <c r="J161" s="36"/>
      <c r="K161" s="36"/>
      <c r="L161" s="36"/>
      <c r="M161" s="36"/>
      <c r="N161" s="36"/>
      <c r="O161" s="37"/>
      <c r="P161" s="37"/>
      <c r="Q161" s="57"/>
    </row>
    <row r="162" spans="5:17" s="1" customFormat="1" x14ac:dyDescent="0.3">
      <c r="E162" s="36"/>
      <c r="F162" s="36"/>
      <c r="G162" s="36"/>
      <c r="H162" s="36"/>
      <c r="I162" s="36"/>
      <c r="J162" s="36"/>
      <c r="K162" s="36"/>
      <c r="L162" s="36"/>
      <c r="M162" s="36"/>
      <c r="N162" s="36"/>
      <c r="O162" s="37"/>
      <c r="P162" s="37"/>
      <c r="Q162" s="57"/>
    </row>
    <row r="163" spans="5:17" s="1" customFormat="1" x14ac:dyDescent="0.3">
      <c r="E163" s="36"/>
      <c r="F163" s="36"/>
      <c r="G163" s="36"/>
      <c r="H163" s="36"/>
      <c r="I163" s="36"/>
      <c r="J163" s="36"/>
      <c r="K163" s="36"/>
      <c r="L163" s="36"/>
      <c r="M163" s="36"/>
      <c r="N163" s="36"/>
      <c r="O163" s="37"/>
      <c r="P163" s="37"/>
      <c r="Q163" s="57"/>
    </row>
    <row r="164" spans="5:17" s="1" customFormat="1" x14ac:dyDescent="0.3">
      <c r="E164" s="36"/>
      <c r="F164" s="36"/>
      <c r="G164" s="36"/>
      <c r="H164" s="36"/>
      <c r="I164" s="36"/>
      <c r="J164" s="36"/>
      <c r="K164" s="36"/>
      <c r="L164" s="36"/>
      <c r="M164" s="36"/>
      <c r="N164" s="36"/>
      <c r="O164" s="37"/>
      <c r="P164" s="37"/>
      <c r="Q164" s="57"/>
    </row>
    <row r="165" spans="5:17" s="1" customFormat="1" x14ac:dyDescent="0.3">
      <c r="E165" s="36"/>
      <c r="F165" s="36"/>
      <c r="G165" s="36"/>
      <c r="H165" s="36"/>
      <c r="I165" s="36"/>
      <c r="J165" s="36"/>
      <c r="K165" s="36"/>
      <c r="L165" s="36"/>
      <c r="M165" s="36"/>
      <c r="N165" s="36"/>
      <c r="O165" s="37"/>
      <c r="P165" s="37"/>
      <c r="Q165" s="57"/>
    </row>
    <row r="166" spans="5:17" s="1" customFormat="1" x14ac:dyDescent="0.3">
      <c r="E166" s="36"/>
      <c r="F166" s="36"/>
      <c r="G166" s="36"/>
      <c r="H166" s="36"/>
      <c r="I166" s="36"/>
      <c r="J166" s="36"/>
      <c r="K166" s="36"/>
      <c r="L166" s="36"/>
      <c r="M166" s="36"/>
      <c r="N166" s="36"/>
      <c r="O166" s="37"/>
      <c r="P166" s="37"/>
      <c r="Q166" s="57"/>
    </row>
    <row r="167" spans="5:17" s="1" customFormat="1" x14ac:dyDescent="0.3"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7"/>
      <c r="P167" s="37"/>
      <c r="Q167" s="57"/>
    </row>
    <row r="168" spans="5:17" s="1" customFormat="1" x14ac:dyDescent="0.3"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7"/>
      <c r="P168" s="37"/>
      <c r="Q168" s="57"/>
    </row>
    <row r="169" spans="5:17" s="1" customFormat="1" x14ac:dyDescent="0.3"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7"/>
      <c r="P169" s="37"/>
      <c r="Q169" s="57"/>
    </row>
    <row r="170" spans="5:17" s="1" customFormat="1" x14ac:dyDescent="0.3">
      <c r="E170" s="36"/>
      <c r="F170" s="36"/>
      <c r="G170" s="36"/>
      <c r="H170" s="36"/>
      <c r="I170" s="36"/>
      <c r="J170" s="36"/>
      <c r="K170" s="36"/>
      <c r="L170" s="36"/>
      <c r="M170" s="36"/>
      <c r="N170" s="36"/>
      <c r="O170" s="37"/>
      <c r="P170" s="37"/>
      <c r="Q170" s="57"/>
    </row>
    <row r="171" spans="5:17" s="1" customFormat="1" x14ac:dyDescent="0.3">
      <c r="E171" s="36"/>
      <c r="F171" s="36"/>
      <c r="G171" s="36"/>
      <c r="H171" s="36"/>
      <c r="I171" s="36"/>
      <c r="J171" s="36"/>
      <c r="K171" s="36"/>
      <c r="L171" s="36"/>
      <c r="M171" s="36"/>
      <c r="N171" s="36"/>
      <c r="O171" s="37"/>
      <c r="P171" s="37"/>
      <c r="Q171" s="57"/>
    </row>
    <row r="172" spans="5:17" s="1" customFormat="1" x14ac:dyDescent="0.3">
      <c r="E172" s="36"/>
      <c r="F172" s="36"/>
      <c r="G172" s="36"/>
      <c r="H172" s="36"/>
      <c r="I172" s="36"/>
      <c r="J172" s="36"/>
      <c r="K172" s="36"/>
      <c r="L172" s="36"/>
      <c r="M172" s="36"/>
      <c r="N172" s="36"/>
      <c r="O172" s="37"/>
      <c r="P172" s="37"/>
      <c r="Q172" s="57"/>
    </row>
    <row r="173" spans="5:17" s="1" customFormat="1" x14ac:dyDescent="0.3">
      <c r="E173" s="36"/>
      <c r="F173" s="36"/>
      <c r="G173" s="36"/>
      <c r="H173" s="36"/>
      <c r="I173" s="36"/>
      <c r="J173" s="36"/>
      <c r="K173" s="36"/>
      <c r="L173" s="36"/>
      <c r="M173" s="36"/>
      <c r="N173" s="36"/>
      <c r="O173" s="37"/>
      <c r="P173" s="37"/>
      <c r="Q173" s="57"/>
    </row>
    <row r="174" spans="5:17" s="1" customFormat="1" x14ac:dyDescent="0.3">
      <c r="E174" s="36"/>
      <c r="F174" s="36"/>
      <c r="G174" s="36"/>
      <c r="H174" s="36"/>
      <c r="I174" s="36"/>
      <c r="J174" s="36"/>
      <c r="K174" s="36"/>
      <c r="L174" s="36"/>
      <c r="M174" s="36"/>
      <c r="N174" s="36"/>
      <c r="O174" s="37"/>
      <c r="P174" s="37"/>
      <c r="Q174" s="57"/>
    </row>
    <row r="175" spans="5:17" s="1" customFormat="1" x14ac:dyDescent="0.3">
      <c r="E175" s="36"/>
      <c r="F175" s="36"/>
      <c r="G175" s="36"/>
      <c r="H175" s="36"/>
      <c r="I175" s="36"/>
      <c r="J175" s="36"/>
      <c r="K175" s="36"/>
      <c r="L175" s="36"/>
      <c r="M175" s="36"/>
      <c r="N175" s="36"/>
      <c r="O175" s="37"/>
      <c r="P175" s="37"/>
      <c r="Q175" s="57"/>
    </row>
    <row r="176" spans="5:17" s="1" customFormat="1" x14ac:dyDescent="0.3">
      <c r="E176" s="36"/>
      <c r="F176" s="36"/>
      <c r="G176" s="36"/>
      <c r="H176" s="36"/>
      <c r="I176" s="36"/>
      <c r="J176" s="36"/>
      <c r="K176" s="36"/>
      <c r="L176" s="36"/>
      <c r="M176" s="36"/>
      <c r="N176" s="36"/>
      <c r="O176" s="37"/>
      <c r="P176" s="37"/>
      <c r="Q176" s="57"/>
    </row>
    <row r="177" spans="5:17" s="1" customFormat="1" x14ac:dyDescent="0.3">
      <c r="E177" s="36"/>
      <c r="F177" s="36"/>
      <c r="G177" s="36"/>
      <c r="H177" s="36"/>
      <c r="I177" s="36"/>
      <c r="J177" s="36"/>
      <c r="K177" s="36"/>
      <c r="L177" s="36"/>
      <c r="M177" s="36"/>
      <c r="N177" s="36"/>
      <c r="O177" s="37"/>
      <c r="P177" s="37"/>
      <c r="Q177" s="57"/>
    </row>
    <row r="178" spans="5:17" s="1" customFormat="1" x14ac:dyDescent="0.3">
      <c r="E178" s="36"/>
      <c r="F178" s="36"/>
      <c r="G178" s="36"/>
      <c r="H178" s="36"/>
      <c r="I178" s="36"/>
      <c r="J178" s="36"/>
      <c r="K178" s="36"/>
      <c r="L178" s="36"/>
      <c r="M178" s="36"/>
      <c r="N178" s="36"/>
      <c r="O178" s="37"/>
      <c r="P178" s="37"/>
      <c r="Q178" s="57"/>
    </row>
    <row r="179" spans="5:17" s="1" customFormat="1" x14ac:dyDescent="0.3">
      <c r="E179" s="36"/>
      <c r="F179" s="36"/>
      <c r="G179" s="36"/>
      <c r="H179" s="36"/>
      <c r="I179" s="36"/>
      <c r="J179" s="36"/>
      <c r="K179" s="36"/>
      <c r="L179" s="36"/>
      <c r="M179" s="36"/>
      <c r="N179" s="36"/>
      <c r="O179" s="37"/>
      <c r="P179" s="37"/>
      <c r="Q179" s="57"/>
    </row>
    <row r="180" spans="5:17" s="1" customFormat="1" x14ac:dyDescent="0.3"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7"/>
      <c r="P180" s="37"/>
      <c r="Q180" s="57"/>
    </row>
    <row r="181" spans="5:17" s="1" customFormat="1" x14ac:dyDescent="0.3">
      <c r="E181" s="36"/>
      <c r="F181" s="36"/>
      <c r="G181" s="36"/>
      <c r="H181" s="36"/>
      <c r="I181" s="36"/>
      <c r="J181" s="36"/>
      <c r="K181" s="36"/>
      <c r="L181" s="36"/>
      <c r="M181" s="36"/>
      <c r="N181" s="36"/>
      <c r="O181" s="37"/>
      <c r="P181" s="37"/>
      <c r="Q181" s="57"/>
    </row>
    <row r="182" spans="5:17" s="1" customFormat="1" x14ac:dyDescent="0.3">
      <c r="E182" s="36"/>
      <c r="F182" s="36"/>
      <c r="G182" s="36"/>
      <c r="H182" s="36"/>
      <c r="I182" s="36"/>
      <c r="J182" s="36"/>
      <c r="K182" s="36"/>
      <c r="L182" s="36"/>
      <c r="M182" s="36"/>
      <c r="N182" s="36"/>
      <c r="O182" s="37"/>
      <c r="P182" s="37"/>
      <c r="Q182" s="57"/>
    </row>
    <row r="183" spans="5:17" s="1" customFormat="1" x14ac:dyDescent="0.3">
      <c r="E183" s="36"/>
      <c r="F183" s="36"/>
      <c r="G183" s="36"/>
      <c r="H183" s="36"/>
      <c r="I183" s="36"/>
      <c r="J183" s="36"/>
      <c r="K183" s="36"/>
      <c r="L183" s="36"/>
      <c r="M183" s="36"/>
      <c r="N183" s="36"/>
      <c r="O183" s="37"/>
      <c r="P183" s="37"/>
      <c r="Q183" s="57"/>
    </row>
    <row r="184" spans="5:17" s="1" customFormat="1" x14ac:dyDescent="0.3">
      <c r="E184" s="36"/>
      <c r="F184" s="36"/>
      <c r="G184" s="36"/>
      <c r="H184" s="36"/>
      <c r="I184" s="36"/>
      <c r="J184" s="36"/>
      <c r="K184" s="36"/>
      <c r="L184" s="36"/>
      <c r="M184" s="36"/>
      <c r="N184" s="36"/>
      <c r="O184" s="37"/>
      <c r="P184" s="37"/>
      <c r="Q184" s="57"/>
    </row>
    <row r="185" spans="5:17" s="1" customFormat="1" x14ac:dyDescent="0.3">
      <c r="E185" s="36"/>
      <c r="F185" s="36"/>
      <c r="G185" s="36"/>
      <c r="H185" s="36"/>
      <c r="I185" s="36"/>
      <c r="J185" s="36"/>
      <c r="K185" s="36"/>
      <c r="L185" s="36"/>
      <c r="M185" s="36"/>
      <c r="N185" s="36"/>
      <c r="O185" s="37"/>
      <c r="P185" s="37"/>
      <c r="Q185" s="57"/>
    </row>
    <row r="186" spans="5:17" s="1" customFormat="1" x14ac:dyDescent="0.3">
      <c r="E186" s="36"/>
      <c r="F186" s="36"/>
      <c r="G186" s="36"/>
      <c r="H186" s="36"/>
      <c r="I186" s="36"/>
      <c r="J186" s="36"/>
      <c r="K186" s="36"/>
      <c r="L186" s="36"/>
      <c r="M186" s="36"/>
      <c r="N186" s="36"/>
      <c r="O186" s="37"/>
      <c r="P186" s="37"/>
      <c r="Q186" s="57"/>
    </row>
    <row r="187" spans="5:17" s="1" customFormat="1" x14ac:dyDescent="0.3">
      <c r="E187" s="36"/>
      <c r="F187" s="36"/>
      <c r="G187" s="36"/>
      <c r="H187" s="36"/>
      <c r="I187" s="36"/>
      <c r="J187" s="36"/>
      <c r="K187" s="36"/>
      <c r="L187" s="36"/>
      <c r="M187" s="36"/>
      <c r="N187" s="36"/>
      <c r="O187" s="37"/>
      <c r="P187" s="37"/>
      <c r="Q187" s="57"/>
    </row>
    <row r="188" spans="5:17" s="1" customFormat="1" x14ac:dyDescent="0.3">
      <c r="E188" s="36"/>
      <c r="F188" s="36"/>
      <c r="G188" s="36"/>
      <c r="H188" s="36"/>
      <c r="I188" s="36"/>
      <c r="J188" s="36"/>
      <c r="K188" s="36"/>
      <c r="L188" s="36"/>
      <c r="M188" s="36"/>
      <c r="N188" s="36"/>
      <c r="O188" s="37"/>
      <c r="P188" s="37"/>
      <c r="Q188" s="57"/>
    </row>
    <row r="189" spans="5:17" s="1" customFormat="1" x14ac:dyDescent="0.3">
      <c r="E189" s="36"/>
      <c r="F189" s="36"/>
      <c r="G189" s="36"/>
      <c r="H189" s="36"/>
      <c r="I189" s="36"/>
      <c r="J189" s="36"/>
      <c r="K189" s="36"/>
      <c r="L189" s="36"/>
      <c r="M189" s="36"/>
      <c r="N189" s="36"/>
      <c r="O189" s="37"/>
      <c r="P189" s="37"/>
      <c r="Q189" s="57"/>
    </row>
    <row r="190" spans="5:17" s="1" customFormat="1" x14ac:dyDescent="0.3">
      <c r="E190" s="36"/>
      <c r="F190" s="36"/>
      <c r="G190" s="36"/>
      <c r="H190" s="36"/>
      <c r="I190" s="36"/>
      <c r="J190" s="36"/>
      <c r="K190" s="36"/>
      <c r="L190" s="36"/>
      <c r="M190" s="36"/>
      <c r="N190" s="36"/>
      <c r="O190" s="37"/>
      <c r="P190" s="37"/>
      <c r="Q190" s="57"/>
    </row>
    <row r="191" spans="5:17" s="1" customFormat="1" x14ac:dyDescent="0.3">
      <c r="E191" s="36"/>
      <c r="F191" s="36"/>
      <c r="G191" s="36"/>
      <c r="H191" s="36"/>
      <c r="I191" s="36"/>
      <c r="J191" s="36"/>
      <c r="K191" s="36"/>
      <c r="L191" s="36"/>
      <c r="M191" s="36"/>
      <c r="N191" s="36"/>
      <c r="O191" s="37"/>
      <c r="P191" s="37"/>
      <c r="Q191" s="57"/>
    </row>
    <row r="192" spans="5:17" s="1" customFormat="1" x14ac:dyDescent="0.3">
      <c r="E192" s="36"/>
      <c r="F192" s="36"/>
      <c r="G192" s="36"/>
      <c r="H192" s="36"/>
      <c r="I192" s="36"/>
      <c r="J192" s="36"/>
      <c r="K192" s="36"/>
      <c r="L192" s="36"/>
      <c r="M192" s="36"/>
      <c r="N192" s="36"/>
      <c r="O192" s="37"/>
      <c r="P192" s="37"/>
      <c r="Q192" s="57"/>
    </row>
    <row r="193" spans="5:17" s="1" customFormat="1" x14ac:dyDescent="0.3">
      <c r="E193" s="36"/>
      <c r="F193" s="36"/>
      <c r="G193" s="36"/>
      <c r="H193" s="36"/>
      <c r="I193" s="36"/>
      <c r="J193" s="36"/>
      <c r="K193" s="36"/>
      <c r="L193" s="36"/>
      <c r="M193" s="36"/>
      <c r="N193" s="36"/>
      <c r="O193" s="37"/>
      <c r="P193" s="37"/>
      <c r="Q193" s="57"/>
    </row>
    <row r="194" spans="5:17" s="1" customFormat="1" x14ac:dyDescent="0.3">
      <c r="E194" s="36"/>
      <c r="F194" s="36"/>
      <c r="G194" s="36"/>
      <c r="H194" s="36"/>
      <c r="I194" s="36"/>
      <c r="J194" s="36"/>
      <c r="K194" s="36"/>
      <c r="L194" s="36"/>
      <c r="M194" s="36"/>
      <c r="N194" s="36"/>
      <c r="O194" s="37"/>
      <c r="P194" s="37"/>
      <c r="Q194" s="57"/>
    </row>
    <row r="195" spans="5:17" s="1" customFormat="1" x14ac:dyDescent="0.3">
      <c r="E195" s="36"/>
      <c r="F195" s="36"/>
      <c r="G195" s="36"/>
      <c r="H195" s="36"/>
      <c r="I195" s="36"/>
      <c r="J195" s="36"/>
      <c r="K195" s="36"/>
      <c r="L195" s="36"/>
      <c r="M195" s="36"/>
      <c r="N195" s="36"/>
      <c r="O195" s="37"/>
      <c r="P195" s="37"/>
      <c r="Q195" s="57"/>
    </row>
    <row r="196" spans="5:17" s="1" customFormat="1" x14ac:dyDescent="0.3">
      <c r="E196" s="36"/>
      <c r="F196" s="36"/>
      <c r="G196" s="36"/>
      <c r="H196" s="36"/>
      <c r="I196" s="36"/>
      <c r="J196" s="36"/>
      <c r="K196" s="36"/>
      <c r="L196" s="36"/>
      <c r="M196" s="36"/>
      <c r="N196" s="36"/>
      <c r="O196" s="37"/>
      <c r="P196" s="37"/>
      <c r="Q196" s="57"/>
    </row>
    <row r="197" spans="5:17" s="1" customFormat="1" x14ac:dyDescent="0.3">
      <c r="E197" s="36"/>
      <c r="F197" s="36"/>
      <c r="G197" s="36"/>
      <c r="H197" s="36"/>
      <c r="I197" s="36"/>
      <c r="J197" s="36"/>
      <c r="K197" s="36"/>
      <c r="L197" s="36"/>
      <c r="M197" s="36"/>
      <c r="N197" s="36"/>
      <c r="O197" s="37"/>
      <c r="P197" s="37"/>
      <c r="Q197" s="57"/>
    </row>
    <row r="198" spans="5:17" s="1" customFormat="1" x14ac:dyDescent="0.3">
      <c r="E198" s="36"/>
      <c r="F198" s="36"/>
      <c r="G198" s="36"/>
      <c r="H198" s="36"/>
      <c r="I198" s="36"/>
      <c r="J198" s="36"/>
      <c r="K198" s="36"/>
      <c r="L198" s="36"/>
      <c r="M198" s="36"/>
      <c r="N198" s="36"/>
      <c r="O198" s="37"/>
      <c r="P198" s="37"/>
      <c r="Q198" s="57"/>
    </row>
    <row r="199" spans="5:17" s="1" customFormat="1" x14ac:dyDescent="0.3">
      <c r="E199" s="36"/>
      <c r="F199" s="36"/>
      <c r="G199" s="36"/>
      <c r="H199" s="36"/>
      <c r="I199" s="36"/>
      <c r="J199" s="36"/>
      <c r="K199" s="36"/>
      <c r="L199" s="36"/>
      <c r="M199" s="36"/>
      <c r="N199" s="36"/>
      <c r="O199" s="37"/>
      <c r="P199" s="37"/>
      <c r="Q199" s="57"/>
    </row>
    <row r="200" spans="5:17" s="1" customFormat="1" x14ac:dyDescent="0.3">
      <c r="E200" s="36"/>
      <c r="F200" s="36"/>
      <c r="G200" s="36"/>
      <c r="H200" s="36"/>
      <c r="I200" s="36"/>
      <c r="J200" s="36"/>
      <c r="K200" s="36"/>
      <c r="L200" s="36"/>
      <c r="M200" s="36"/>
      <c r="N200" s="36"/>
      <c r="O200" s="37"/>
      <c r="P200" s="37"/>
      <c r="Q200" s="57"/>
    </row>
    <row r="201" spans="5:17" s="1" customFormat="1" x14ac:dyDescent="0.3">
      <c r="E201" s="36"/>
      <c r="F201" s="36"/>
      <c r="G201" s="36"/>
      <c r="H201" s="36"/>
      <c r="I201" s="36"/>
      <c r="J201" s="36"/>
      <c r="K201" s="36"/>
      <c r="L201" s="36"/>
      <c r="M201" s="36"/>
      <c r="N201" s="36"/>
      <c r="O201" s="37"/>
      <c r="P201" s="37"/>
      <c r="Q201" s="57"/>
    </row>
    <row r="202" spans="5:17" s="1" customFormat="1" x14ac:dyDescent="0.3">
      <c r="E202" s="36"/>
      <c r="F202" s="36"/>
      <c r="G202" s="36"/>
      <c r="H202" s="36"/>
      <c r="I202" s="36"/>
      <c r="J202" s="36"/>
      <c r="K202" s="36"/>
      <c r="L202" s="36"/>
      <c r="M202" s="36"/>
      <c r="N202" s="36"/>
      <c r="O202" s="37"/>
      <c r="P202" s="37"/>
      <c r="Q202" s="57"/>
    </row>
    <row r="203" spans="5:17" s="1" customFormat="1" x14ac:dyDescent="0.3">
      <c r="E203" s="36"/>
      <c r="F203" s="36"/>
      <c r="G203" s="36"/>
      <c r="H203" s="36"/>
      <c r="I203" s="36"/>
      <c r="J203" s="36"/>
      <c r="K203" s="36"/>
      <c r="L203" s="36"/>
      <c r="M203" s="36"/>
      <c r="N203" s="36"/>
      <c r="O203" s="37"/>
      <c r="P203" s="37"/>
      <c r="Q203" s="57"/>
    </row>
    <row r="204" spans="5:17" s="1" customFormat="1" x14ac:dyDescent="0.3">
      <c r="E204" s="36"/>
      <c r="F204" s="36"/>
      <c r="G204" s="36"/>
      <c r="H204" s="36"/>
      <c r="I204" s="36"/>
      <c r="J204" s="36"/>
      <c r="K204" s="36"/>
      <c r="L204" s="36"/>
      <c r="M204" s="36"/>
      <c r="N204" s="36"/>
      <c r="O204" s="37"/>
      <c r="P204" s="37"/>
      <c r="Q204" s="57"/>
    </row>
    <row r="205" spans="5:17" s="1" customFormat="1" x14ac:dyDescent="0.3">
      <c r="E205" s="36"/>
      <c r="F205" s="36"/>
      <c r="G205" s="36"/>
      <c r="H205" s="36"/>
      <c r="I205" s="36"/>
      <c r="J205" s="36"/>
      <c r="K205" s="36"/>
      <c r="L205" s="36"/>
      <c r="M205" s="36"/>
      <c r="N205" s="36"/>
      <c r="O205" s="37"/>
      <c r="P205" s="37"/>
      <c r="Q205" s="57"/>
    </row>
    <row r="206" spans="5:17" s="1" customFormat="1" x14ac:dyDescent="0.3">
      <c r="E206" s="36"/>
      <c r="F206" s="36"/>
      <c r="G206" s="36"/>
      <c r="H206" s="36"/>
      <c r="I206" s="36"/>
      <c r="J206" s="36"/>
      <c r="K206" s="36"/>
      <c r="L206" s="36"/>
      <c r="M206" s="36"/>
      <c r="N206" s="36"/>
      <c r="O206" s="37"/>
      <c r="P206" s="37"/>
      <c r="Q206" s="57"/>
    </row>
    <row r="207" spans="5:17" s="1" customFormat="1" x14ac:dyDescent="0.3">
      <c r="E207" s="36"/>
      <c r="F207" s="36"/>
      <c r="G207" s="36"/>
      <c r="H207" s="36"/>
      <c r="I207" s="36"/>
      <c r="J207" s="36"/>
      <c r="K207" s="36"/>
      <c r="L207" s="36"/>
      <c r="M207" s="36"/>
      <c r="N207" s="36"/>
      <c r="O207" s="37"/>
      <c r="P207" s="37"/>
      <c r="Q207" s="57"/>
    </row>
    <row r="208" spans="5:17" s="1" customFormat="1" x14ac:dyDescent="0.3">
      <c r="E208" s="36"/>
      <c r="F208" s="36"/>
      <c r="G208" s="36"/>
      <c r="H208" s="36"/>
      <c r="I208" s="36"/>
      <c r="J208" s="36"/>
      <c r="K208" s="36"/>
      <c r="L208" s="36"/>
      <c r="M208" s="36"/>
      <c r="N208" s="36"/>
      <c r="O208" s="37"/>
      <c r="P208" s="37"/>
      <c r="Q208" s="57"/>
    </row>
    <row r="209" spans="2:17" x14ac:dyDescent="0.3">
      <c r="B209" s="1"/>
      <c r="E209" s="36"/>
      <c r="F209" s="36"/>
      <c r="G209" s="36"/>
      <c r="H209" s="36"/>
      <c r="I209" s="36"/>
      <c r="J209" s="36"/>
      <c r="K209" s="36"/>
      <c r="L209" s="36"/>
      <c r="M209" s="36"/>
      <c r="N209" s="36"/>
      <c r="O209" s="37"/>
      <c r="P209" s="37"/>
      <c r="Q209" s="57"/>
    </row>
    <row r="210" spans="2:17" x14ac:dyDescent="0.3">
      <c r="B210" s="1"/>
      <c r="E210" s="36"/>
      <c r="F210" s="36"/>
      <c r="G210" s="36"/>
      <c r="H210" s="36"/>
      <c r="I210" s="36"/>
      <c r="J210" s="36"/>
      <c r="K210" s="36"/>
      <c r="L210" s="36"/>
      <c r="M210" s="36"/>
      <c r="N210" s="36"/>
      <c r="O210" s="37"/>
      <c r="P210" s="37"/>
      <c r="Q210" s="57"/>
    </row>
    <row r="211" spans="2:17" x14ac:dyDescent="0.3">
      <c r="B211" s="13"/>
      <c r="Q211" s="57"/>
    </row>
    <row r="212" spans="2:17" x14ac:dyDescent="0.3">
      <c r="Q212" s="57"/>
    </row>
    <row r="213" spans="2:17" x14ac:dyDescent="0.3">
      <c r="Q213" s="57"/>
    </row>
    <row r="214" spans="2:17" x14ac:dyDescent="0.3">
      <c r="Q214" s="57"/>
    </row>
    <row r="215" spans="2:17" x14ac:dyDescent="0.3">
      <c r="Q215" s="57"/>
    </row>
  </sheetData>
  <mergeCells count="16">
    <mergeCell ref="B24:D24"/>
    <mergeCell ref="B28:D28"/>
    <mergeCell ref="B1:D1"/>
    <mergeCell ref="E1:K1"/>
    <mergeCell ref="B22:D22"/>
    <mergeCell ref="E8:Q8"/>
    <mergeCell ref="B3:D3"/>
    <mergeCell ref="E3:K3"/>
    <mergeCell ref="B2:D2"/>
    <mergeCell ref="E2:K2"/>
    <mergeCell ref="Q16:Q19"/>
    <mergeCell ref="M1:Q1"/>
    <mergeCell ref="B9:D9"/>
    <mergeCell ref="B6:D6"/>
    <mergeCell ref="M2:Q2"/>
    <mergeCell ref="M3:Q3"/>
  </mergeCells>
  <phoneticPr fontId="10" type="noConversion"/>
  <printOptions horizontalCentered="1" verticalCentered="1"/>
  <pageMargins left="0.11811023622047245" right="0.11811023622047245" top="0.74803149606299213" bottom="0.74803149606299213" header="0.31496062992125984" footer="0.31496062992125984"/>
  <pageSetup scale="8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CONGES PAYES</vt:lpstr>
      <vt:lpstr>'CONGES PAYES'!Zone_d_impression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Passama Pissang</dc:creator>
  <cp:lastModifiedBy>Passama Pissang</cp:lastModifiedBy>
  <dcterms:created xsi:type="dcterms:W3CDTF">2025-05-10T23:34:30Z</dcterms:created>
  <dcterms:modified xsi:type="dcterms:W3CDTF">2025-09-23T13:25:02Z</dcterms:modified>
</cp:coreProperties>
</file>