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raham\Desktop\"/>
    </mc:Choice>
  </mc:AlternateContent>
  <xr:revisionPtr revIDLastSave="0" documentId="13_ncr:1_{6245D2DA-40ED-4AD0-B083-6B9E81D69C5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mplir les cases en jaun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3" i="1" l="1"/>
  <c r="H63" i="1"/>
  <c r="H62" i="1"/>
  <c r="F59" i="1"/>
  <c r="F58" i="1"/>
  <c r="F57" i="1"/>
  <c r="E49" i="1"/>
  <c r="E48" i="1"/>
  <c r="E47" i="1"/>
  <c r="E46" i="1"/>
  <c r="E45" i="1"/>
  <c r="E50" i="1" s="1"/>
  <c r="A38" i="1"/>
  <c r="H38" i="1" s="1"/>
  <c r="A21" i="1"/>
  <c r="G21" i="1" s="1"/>
  <c r="B5" i="1"/>
  <c r="B4" i="1"/>
  <c r="A37" i="1" s="1"/>
  <c r="H37" i="1" s="1"/>
  <c r="I54" i="1" l="1"/>
  <c r="A19" i="1"/>
  <c r="G19" i="1" s="1"/>
  <c r="A23" i="1"/>
  <c r="H23" i="1" s="1"/>
  <c r="A24" i="1"/>
  <c r="H24" i="1" s="1"/>
  <c r="A30" i="1"/>
  <c r="H30" i="1" s="1"/>
  <c r="A26" i="1"/>
  <c r="H26" i="1" s="1"/>
  <c r="A9" i="1"/>
  <c r="A28" i="1"/>
  <c r="A11" i="1"/>
  <c r="H11" i="1" s="1"/>
  <c r="A29" i="1"/>
  <c r="H29" i="1" s="1"/>
  <c r="A12" i="1"/>
  <c r="H12" i="1" s="1"/>
  <c r="A14" i="1"/>
  <c r="H14" i="1" s="1"/>
  <c r="A31" i="1"/>
  <c r="G31" i="1" s="1"/>
  <c r="A16" i="1"/>
  <c r="H16" i="1" s="1"/>
  <c r="A33" i="1"/>
  <c r="H33" i="1" s="1"/>
  <c r="A17" i="1"/>
  <c r="H17" i="1" s="1"/>
  <c r="A35" i="1"/>
  <c r="H35" i="1" s="1"/>
  <c r="A18" i="1"/>
  <c r="H18" i="1" s="1"/>
  <c r="A36" i="1"/>
  <c r="H36" i="1" s="1"/>
  <c r="H28" i="1"/>
  <c r="G28" i="1"/>
  <c r="C28" i="1"/>
  <c r="B28" i="1"/>
  <c r="B35" i="1"/>
  <c r="B37" i="1"/>
  <c r="H9" i="1"/>
  <c r="G9" i="1"/>
  <c r="C9" i="1"/>
  <c r="B9" i="1"/>
  <c r="C23" i="1"/>
  <c r="C37" i="1"/>
  <c r="B23" i="1"/>
  <c r="G37" i="1"/>
  <c r="B11" i="1"/>
  <c r="G18" i="1"/>
  <c r="B21" i="1"/>
  <c r="F60" i="1"/>
  <c r="C21" i="1"/>
  <c r="B38" i="1"/>
  <c r="C38" i="1"/>
  <c r="C19" i="1"/>
  <c r="H21" i="1"/>
  <c r="F61" i="1"/>
  <c r="G12" i="1"/>
  <c r="A15" i="1"/>
  <c r="H19" i="1"/>
  <c r="A27" i="1"/>
  <c r="G36" i="1"/>
  <c r="B19" i="1"/>
  <c r="B12" i="1"/>
  <c r="C31" i="1"/>
  <c r="B36" i="1"/>
  <c r="G38" i="1"/>
  <c r="A10" i="1"/>
  <c r="C12" i="1"/>
  <c r="A22" i="1"/>
  <c r="A34" i="1"/>
  <c r="C36" i="1"/>
  <c r="A8" i="1"/>
  <c r="G17" i="1"/>
  <c r="A20" i="1"/>
  <c r="A32" i="1"/>
  <c r="A13" i="1"/>
  <c r="A25" i="1"/>
  <c r="B30" i="1" l="1"/>
  <c r="G26" i="1"/>
  <c r="C18" i="1"/>
  <c r="B24" i="1"/>
  <c r="B18" i="1"/>
  <c r="G23" i="1"/>
  <c r="G29" i="1"/>
  <c r="C11" i="1"/>
  <c r="C26" i="1"/>
  <c r="C14" i="1"/>
  <c r="C24" i="1"/>
  <c r="C17" i="1"/>
  <c r="B26" i="1"/>
  <c r="G30" i="1"/>
  <c r="C35" i="1"/>
  <c r="C30" i="1"/>
  <c r="G14" i="1"/>
  <c r="C33" i="1"/>
  <c r="B14" i="1"/>
  <c r="B29" i="1"/>
  <c r="H31" i="1"/>
  <c r="G35" i="1"/>
  <c r="C29" i="1"/>
  <c r="B33" i="1"/>
  <c r="B16" i="1"/>
  <c r="B17" i="1"/>
  <c r="G24" i="1"/>
  <c r="G33" i="1"/>
  <c r="C16" i="1"/>
  <c r="B31" i="1"/>
  <c r="G16" i="1"/>
  <c r="H13" i="1"/>
  <c r="G13" i="1"/>
  <c r="C13" i="1"/>
  <c r="B13" i="1"/>
  <c r="B32" i="1"/>
  <c r="H32" i="1"/>
  <c r="G32" i="1"/>
  <c r="C32" i="1"/>
  <c r="G10" i="1"/>
  <c r="C10" i="1"/>
  <c r="B10" i="1"/>
  <c r="H10" i="1"/>
  <c r="C15" i="1"/>
  <c r="B15" i="1"/>
  <c r="H15" i="1"/>
  <c r="G15" i="1"/>
  <c r="B20" i="1"/>
  <c r="H20" i="1"/>
  <c r="G20" i="1"/>
  <c r="C20" i="1"/>
  <c r="B8" i="1"/>
  <c r="D54" i="1"/>
  <c r="H8" i="1"/>
  <c r="G8" i="1"/>
  <c r="C8" i="1"/>
  <c r="G34" i="1"/>
  <c r="C34" i="1"/>
  <c r="B34" i="1"/>
  <c r="H34" i="1"/>
  <c r="G22" i="1"/>
  <c r="C22" i="1"/>
  <c r="B22" i="1"/>
  <c r="H22" i="1"/>
  <c r="C27" i="1"/>
  <c r="B27" i="1"/>
  <c r="H27" i="1"/>
  <c r="G27" i="1"/>
  <c r="H25" i="1"/>
  <c r="G25" i="1"/>
  <c r="C25" i="1"/>
  <c r="B25" i="1"/>
  <c r="H58" i="1" l="1"/>
  <c r="H57" i="1"/>
  <c r="L54" i="1"/>
  <c r="D49" i="1"/>
  <c r="J49" i="1" s="1"/>
  <c r="D45" i="1"/>
  <c r="C49" i="1"/>
  <c r="C45" i="1" a="1"/>
  <c r="C45" i="1" s="1"/>
  <c r="D46" i="1"/>
  <c r="J46" i="1" s="1"/>
  <c r="C46" i="1"/>
  <c r="D47" i="1"/>
  <c r="J47" i="1" s="1"/>
  <c r="C47" i="1"/>
  <c r="D48" i="1"/>
  <c r="J48" i="1" s="1"/>
  <c r="C48" i="1"/>
  <c r="K47" i="1" l="1"/>
  <c r="H47" i="1"/>
  <c r="I47" i="1"/>
  <c r="G47" i="1"/>
  <c r="H46" i="1"/>
  <c r="G46" i="1"/>
  <c r="K46" i="1"/>
  <c r="I46" i="1"/>
  <c r="C50" i="1"/>
  <c r="K45" i="1"/>
  <c r="I45" i="1"/>
  <c r="H45" i="1"/>
  <c r="G45" i="1"/>
  <c r="K49" i="1"/>
  <c r="I49" i="1"/>
  <c r="H49" i="1"/>
  <c r="G49" i="1"/>
  <c r="L49" i="1" s="1"/>
  <c r="D50" i="1"/>
  <c r="J45" i="1"/>
  <c r="J50" i="1" s="1"/>
  <c r="E61" i="1" s="1"/>
  <c r="H61" i="1" s="1"/>
  <c r="K48" i="1"/>
  <c r="I48" i="1"/>
  <c r="H48" i="1"/>
  <c r="G48" i="1"/>
  <c r="K50" i="1" l="1"/>
  <c r="L47" i="1"/>
  <c r="L48" i="1"/>
  <c r="I50" i="1"/>
  <c r="E60" i="1" s="1"/>
  <c r="H60" i="1" s="1"/>
  <c r="H50" i="1"/>
  <c r="E59" i="1" s="1"/>
  <c r="H59" i="1" s="1"/>
  <c r="H64" i="1" s="1"/>
  <c r="L46" i="1"/>
  <c r="G50" i="1"/>
  <c r="L45" i="1"/>
  <c r="L50" i="1" s="1"/>
</calcChain>
</file>

<file path=xl/sharedStrings.xml><?xml version="1.0" encoding="utf-8"?>
<sst xmlns="http://schemas.openxmlformats.org/spreadsheetml/2006/main" count="99" uniqueCount="65">
  <si>
    <t>FICHE DE POINTAGE &amp; CALCUL DE SALAIRE</t>
  </si>
  <si>
    <t>Nom :</t>
  </si>
  <si>
    <t>A</t>
  </si>
  <si>
    <t xml:space="preserve">Prénom </t>
  </si>
  <si>
    <t xml:space="preserve">Mois </t>
  </si>
  <si>
    <t xml:space="preserve">Salaire de base </t>
  </si>
  <si>
    <t xml:space="preserve">Période Du (auto) </t>
  </si>
  <si>
    <t xml:space="preserve">Sursalaire </t>
  </si>
  <si>
    <t xml:space="preserve">Au (auto) </t>
  </si>
  <si>
    <t xml:space="preserve">Prime salissure </t>
  </si>
  <si>
    <t xml:space="preserve">Bonus </t>
  </si>
  <si>
    <t>Date</t>
  </si>
  <si>
    <t>Jour</t>
  </si>
  <si>
    <t>Semaine</t>
  </si>
  <si>
    <t>P/A/M/C</t>
  </si>
  <si>
    <t>Heures
matin</t>
  </si>
  <si>
    <t>Heures
après-midi</t>
  </si>
  <si>
    <t>Dimanche / Jour férié ?</t>
  </si>
  <si>
    <t>Total des heures</t>
  </si>
  <si>
    <t>C</t>
  </si>
  <si>
    <t>M</t>
  </si>
  <si>
    <t>P</t>
  </si>
  <si>
    <t>Heures (de la dernière semaine du mois précédent) déjà payées</t>
  </si>
  <si>
    <t>Heures déjà payées (mois précédent) :</t>
  </si>
  <si>
    <t xml:space="preserve">  RÉCAPITULATIF HEBDOMADAIRE  ─  CALCUL DES HEURES SUPPLEMENTAIRES PAR SEMAINE</t>
  </si>
  <si>
    <t>Heures Jours
ouvrables</t>
  </si>
  <si>
    <t>Heures Dimanches
/ Fériés</t>
  </si>
  <si>
    <t>Heures déjà payées
(mois précédent)</t>
  </si>
  <si>
    <t>Heures
Normales</t>
  </si>
  <si>
    <t>HS
20%</t>
  </si>
  <si>
    <t>HS
40%</t>
  </si>
  <si>
    <t>HS
100%</t>
  </si>
  <si>
    <t>Total
semaine</t>
  </si>
  <si>
    <t>Vérif.
=E+F</t>
  </si>
  <si>
    <t>Semaine 1</t>
  </si>
  <si>
    <t>Semaine 2</t>
  </si>
  <si>
    <t>Semaine 3</t>
  </si>
  <si>
    <t>Semaine 4</t>
  </si>
  <si>
    <t>Semaine 5</t>
  </si>
  <si>
    <t xml:space="preserve">  TOTAUX</t>
  </si>
  <si>
    <t xml:space="preserve">  CALCUL DU SALAIRE BRUT  ─  Formules automatiques basées sur le récapitulatif</t>
  </si>
  <si>
    <t xml:space="preserve">  Taux horaire = (Salaire de base + Sursalaire) ÷ 173,33 :</t>
  </si>
  <si>
    <t xml:space="preserve">  Jours ouvrés (Présent + Sick) :</t>
  </si>
  <si>
    <t xml:space="preserve">  Total jours période :</t>
  </si>
  <si>
    <t xml:space="preserve">  Taux de présence :</t>
  </si>
  <si>
    <t>Rubrique</t>
  </si>
  <si>
    <t>Heures</t>
  </si>
  <si>
    <t>Base / Taux</t>
  </si>
  <si>
    <t>Coefficient</t>
  </si>
  <si>
    <t>Montant FCFA (Gains)</t>
  </si>
  <si>
    <t>Salaire de base</t>
  </si>
  <si>
    <t>× taux prés.</t>
  </si>
  <si>
    <t>Sursalaire</t>
  </si>
  <si>
    <t>—</t>
  </si>
  <si>
    <t>Heures supp. 20%</t>
  </si>
  <si>
    <t>× 1,20</t>
  </si>
  <si>
    <t>Heures supp. 40%</t>
  </si>
  <si>
    <t>× 1,40</t>
  </si>
  <si>
    <t>Heures supp. 100%</t>
  </si>
  <si>
    <t>× 2,00</t>
  </si>
  <si>
    <t>Prime de salissure</t>
  </si>
  <si>
    <t>forfait</t>
  </si>
  <si>
    <t>Bonus</t>
  </si>
  <si>
    <t xml:space="preserve">  SALAIRE BRUT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</si>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</sst>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d/mm/yy;@"/>
    <numFmt numFmtId="165" formatCode="#,##0&quot; FCFA&quot;"/>
    <numFmt numFmtId="166" formatCode="m/d/yyyy"/>
    <numFmt numFmtId="167" formatCode="0.0"/>
    <numFmt numFmtId="168" formatCode="#,##0.00&quot; FCFA/h&quot;"/>
    <numFmt numFmtId="169" formatCode="0&quot; j&quot;"/>
    <numFmt numFmtId="170" formatCode="0.0%"/>
  </numFmts>
  <fonts count="3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0"/>
      <color rgb="FF555555"/>
      <name val="Arial"/>
      <charset val="1"/>
    </font>
    <font>
      <sz val="10"/>
      <color rgb="FF0070C0"/>
      <name val="Arial"/>
      <family val="2"/>
      <charset val="1"/>
    </font>
    <font>
      <sz val="10"/>
      <color rgb="FF0070C0"/>
      <name val="Arial"/>
      <charset val="1"/>
    </font>
    <font>
      <i/>
      <sz val="10"/>
      <color rgb="FF555555"/>
      <name val="Arial"/>
      <charset val="1"/>
    </font>
    <font>
      <b/>
      <sz val="9"/>
      <color rgb="FFFFFFFF"/>
      <name val="Arial"/>
      <charset val="1"/>
    </font>
    <font>
      <b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70C0"/>
      <name val="Arial"/>
      <charset val="1"/>
    </font>
    <font>
      <sz val="9"/>
      <color rgb="FF0070C0"/>
      <name val="Arial"/>
      <charset val="1"/>
    </font>
    <font>
      <b/>
      <sz val="10"/>
      <color rgb="FF000000"/>
      <name val="Arial"/>
      <charset val="1"/>
    </font>
    <font>
      <b/>
      <sz val="9"/>
      <color rgb="FF0070C0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0"/>
      <name val="Arial"/>
      <family val="2"/>
      <charset val="1"/>
    </font>
    <font>
      <b/>
      <sz val="14"/>
      <color rgb="FF0070C0"/>
      <name val="Arial"/>
      <family val="2"/>
      <charset val="1"/>
    </font>
    <font>
      <b/>
      <sz val="10"/>
      <color theme="0" tint="-4.9989318521683403E-2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9"/>
      <name val="Arial"/>
      <family val="2"/>
      <charset val="1"/>
    </font>
    <font>
      <sz val="10"/>
      <name val="Arial"/>
      <family val="2"/>
      <charset val="1"/>
    </font>
    <font>
      <i/>
      <sz val="9"/>
      <name val="Arial"/>
      <family val="2"/>
      <charset val="1"/>
    </font>
    <font>
      <b/>
      <sz val="10"/>
      <color rgb="FF333333"/>
      <name val="Arial"/>
      <charset val="1"/>
    </font>
    <font>
      <b/>
      <sz val="11"/>
      <color rgb="FF1F4E79"/>
      <name val="Arial"/>
      <charset val="1"/>
    </font>
    <font>
      <b/>
      <sz val="10"/>
      <color rgb="FF1F4E79"/>
      <name val="Arial"/>
      <family val="2"/>
      <charset val="1"/>
    </font>
    <font>
      <b/>
      <sz val="10"/>
      <color rgb="FF1F4E79"/>
      <name val="Arial"/>
      <charset val="1"/>
    </font>
    <font>
      <b/>
      <sz val="11"/>
      <color rgb="FF0B6623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9"/>
      <color rgb="FF555555"/>
      <name val="Arial"/>
      <charset val="1"/>
    </font>
    <font>
      <sz val="10"/>
      <color rgb="FF444444"/>
      <name val="Arial"/>
      <charset val="1"/>
    </font>
    <font>
      <b/>
      <sz val="10"/>
      <color rgb="FF1A6B1A"/>
      <name val="Arial"/>
      <charset val="1"/>
    </font>
    <font>
      <sz val="10"/>
      <color rgb="FFAAAAAA"/>
      <name val="Arial"/>
      <charset val="1"/>
    </font>
    <font>
      <b/>
      <sz val="20"/>
      <color theme="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3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F2F2F2"/>
      </patternFill>
    </fill>
    <fill>
      <patternFill patternType="solid">
        <fgColor theme="0"/>
        <bgColor rgb="FFF0F7FF"/>
      </patternFill>
    </fill>
    <fill>
      <patternFill patternType="solid">
        <fgColor rgb="FFF0F7FF"/>
        <bgColor rgb="FFF2F2F2"/>
      </patternFill>
    </fill>
    <fill>
      <patternFill patternType="solid">
        <fgColor theme="9" tint="0.59987182226020086"/>
        <bgColor rgb="FFE8E8E8"/>
      </patternFill>
    </fill>
    <fill>
      <patternFill patternType="solid">
        <fgColor rgb="FF1F4E79"/>
        <bgColor rgb="FF1F497D"/>
      </patternFill>
    </fill>
    <fill>
      <patternFill patternType="solid">
        <fgColor theme="3" tint="0.79979857783745845"/>
        <bgColor rgb="FFE8E8E8"/>
      </patternFill>
    </fill>
    <fill>
      <patternFill patternType="solid">
        <fgColor rgb="FF00B050"/>
        <bgColor rgb="FF0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164" fontId="6" fillId="8" borderId="1" xfId="0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167" fontId="17" fillId="3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7" fontId="21" fillId="5" borderId="1" xfId="0" applyNumberFormat="1" applyFont="1" applyFill="1" applyBorder="1" applyAlignment="1">
      <alignment horizontal="center" vertical="center"/>
    </xf>
    <xf numFmtId="167" fontId="16" fillId="5" borderId="1" xfId="0" applyNumberFormat="1" applyFont="1" applyFill="1" applyBorder="1" applyAlignment="1">
      <alignment horizontal="center" vertical="center"/>
    </xf>
    <xf numFmtId="167" fontId="22" fillId="5" borderId="1" xfId="0" applyNumberFormat="1" applyFont="1" applyFill="1" applyBorder="1" applyAlignment="1">
      <alignment horizontal="center" vertical="center"/>
    </xf>
    <xf numFmtId="167" fontId="16" fillId="9" borderId="1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vertical="center"/>
    </xf>
    <xf numFmtId="0" fontId="0" fillId="5" borderId="1" xfId="0" applyFill="1" applyBorder="1"/>
    <xf numFmtId="169" fontId="24" fillId="9" borderId="1" xfId="0" applyNumberFormat="1" applyFont="1" applyFill="1" applyBorder="1" applyAlignment="1">
      <alignment horizontal="center" vertical="center"/>
    </xf>
    <xf numFmtId="170" fontId="27" fillId="9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2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7" fontId="30" fillId="5" borderId="1" xfId="0" applyNumberFormat="1" applyFont="1" applyFill="1" applyBorder="1" applyAlignment="1">
      <alignment horizontal="center" vertical="center"/>
    </xf>
    <xf numFmtId="4" fontId="31" fillId="5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164" fontId="16" fillId="9" borderId="1" xfId="0" applyNumberFormat="1" applyFont="1" applyFill="1" applyBorder="1" applyAlignment="1">
      <alignment horizontal="left" vertical="center"/>
    </xf>
    <xf numFmtId="167" fontId="16" fillId="7" borderId="1" xfId="0" applyNumberFormat="1" applyFont="1" applyFill="1" applyBorder="1" applyAlignment="1">
      <alignment horizontal="center" vertical="center"/>
    </xf>
    <xf numFmtId="167" fontId="21" fillId="7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168" fontId="24" fillId="5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left" vertical="center"/>
    </xf>
    <xf numFmtId="0" fontId="0" fillId="5" borderId="0" xfId="0" applyFill="1"/>
    <xf numFmtId="164" fontId="28" fillId="8" borderId="2" xfId="0" applyNumberFormat="1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164" fontId="29" fillId="5" borderId="1" xfId="0" applyNumberFormat="1" applyFont="1" applyFill="1" applyBorder="1" applyAlignment="1">
      <alignment horizontal="left" vertical="center"/>
    </xf>
    <xf numFmtId="165" fontId="33" fillId="5" borderId="1" xfId="0" applyNumberFormat="1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0" fontId="35" fillId="10" borderId="4" xfId="0" applyFont="1" applyFill="1" applyBorder="1" applyAlignment="1">
      <alignment horizontal="center" vertical="center"/>
    </xf>
    <xf numFmtId="165" fontId="35" fillId="1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FF00"/>
      </font>
      <fill>
        <patternFill>
          <bgColor rgb="FFFFFF00"/>
        </patternFill>
      </fill>
    </dxf>
    <dxf>
      <font>
        <color rgb="FFFFFFFF"/>
      </font>
      <fill>
        <patternFill>
          <bgColor rgb="FFFFFFFF"/>
        </patternFill>
      </fill>
    </dxf>
  </dxfs>
  <tableStyles count="1" defaultTableStyle="TableStyleMedium2" defaultPivotStyle="PivotStyleLight16">
    <tableStyle name="Invisible" pivot="0" table="0" count="0" xr9:uid="{64D23429-3596-45F9-929B-03053E101238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1A"/>
      <rgbColor rgb="FF000080"/>
      <rgbColor rgb="FF808000"/>
      <rgbColor rgb="FF800080"/>
      <rgbColor rgb="FF0B6623"/>
      <rgbColor rgb="FFC0C0C0"/>
      <rgbColor rgb="FF808080"/>
      <rgbColor rgb="FF9999FF"/>
      <rgbColor rgb="FF993366"/>
      <rgbColor rgb="FFF2F2F2"/>
      <rgbColor rgb="FFF0F7FF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4E79"/>
      <rgbColor rgb="FF00B050"/>
      <rgbColor rgb="FF003300"/>
      <rgbColor rgb="FF444444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38" zoomScale="88" zoomScaleNormal="88" workbookViewId="0">
      <selection activeCell="E54" sqref="E54:H54"/>
    </sheetView>
  </sheetViews>
  <sheetFormatPr baseColWidth="10" defaultColWidth="8.6328125" defaultRowHeight="14.5" x14ac:dyDescent="0.35"/>
  <cols>
    <col min="1" max="1" width="16.81640625" customWidth="1"/>
    <col min="2" max="2" width="7.08984375" customWidth="1"/>
    <col min="3" max="3" width="17.54296875" customWidth="1"/>
    <col min="4" max="4" width="10.6328125" customWidth="1"/>
    <col min="5" max="6" width="14.54296875" customWidth="1"/>
    <col min="7" max="7" width="10.6328125" customWidth="1"/>
    <col min="8" max="8" width="15.1796875" customWidth="1"/>
    <col min="9" max="9" width="11.7265625" customWidth="1"/>
    <col min="10" max="10" width="15.26953125" customWidth="1"/>
    <col min="11" max="11" width="7.6328125" customWidth="1"/>
    <col min="12" max="12" width="8" customWidth="1"/>
  </cols>
  <sheetData>
    <row r="1" spans="1:12" ht="36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5">
      <c r="A2" s="15" t="s">
        <v>1</v>
      </c>
      <c r="B2" s="13" t="s">
        <v>2</v>
      </c>
      <c r="C2" s="13"/>
      <c r="D2" s="13"/>
      <c r="E2" s="13"/>
      <c r="G2" s="12" t="s">
        <v>3</v>
      </c>
      <c r="H2" s="12"/>
      <c r="I2" s="13" t="s">
        <v>2</v>
      </c>
      <c r="J2" s="13"/>
      <c r="K2" s="13"/>
      <c r="L2" s="13"/>
    </row>
    <row r="3" spans="1:12" ht="21" customHeight="1" x14ac:dyDescent="0.35">
      <c r="A3" s="15" t="s">
        <v>4</v>
      </c>
      <c r="B3" s="11">
        <v>46082</v>
      </c>
      <c r="C3" s="11"/>
      <c r="D3" s="11"/>
      <c r="E3" s="11"/>
      <c r="G3" s="12" t="s">
        <v>5</v>
      </c>
      <c r="H3" s="12"/>
      <c r="I3" s="10">
        <v>60000</v>
      </c>
      <c r="J3" s="10"/>
      <c r="K3" s="10"/>
      <c r="L3" s="10"/>
    </row>
    <row r="4" spans="1:12" ht="21.75" customHeight="1" x14ac:dyDescent="0.35">
      <c r="A4" s="16" t="s">
        <v>6</v>
      </c>
      <c r="B4" s="9">
        <f>IFERROR(DATE(YEAR(B3),MONTH(B3)-1,26),"")</f>
        <v>46079</v>
      </c>
      <c r="C4" s="9"/>
      <c r="D4" s="9"/>
      <c r="E4" s="9"/>
      <c r="G4" s="12" t="s">
        <v>7</v>
      </c>
      <c r="H4" s="12"/>
      <c r="I4" s="10">
        <v>10000</v>
      </c>
      <c r="J4" s="10"/>
      <c r="K4" s="10"/>
      <c r="L4" s="10"/>
    </row>
    <row r="5" spans="1:12" ht="25.5" customHeight="1" x14ac:dyDescent="0.35">
      <c r="A5" s="16" t="s">
        <v>8</v>
      </c>
      <c r="B5" s="9">
        <f>IFERROR(DATE(YEAR(B3),MONTH(B3),25),"")</f>
        <v>46106</v>
      </c>
      <c r="C5" s="9"/>
      <c r="D5" s="9"/>
      <c r="E5" s="9"/>
      <c r="G5" s="12" t="s">
        <v>9</v>
      </c>
      <c r="H5" s="12"/>
      <c r="I5" s="10">
        <v>2000</v>
      </c>
      <c r="J5" s="10"/>
      <c r="K5" s="10"/>
      <c r="L5" s="10"/>
    </row>
    <row r="6" spans="1:12" ht="25.5" customHeight="1" x14ac:dyDescent="0.35">
      <c r="A6" s="17"/>
      <c r="B6" s="18"/>
      <c r="C6" s="18"/>
      <c r="D6" s="18"/>
      <c r="E6" s="18"/>
      <c r="G6" s="8" t="s">
        <v>10</v>
      </c>
      <c r="H6" s="8"/>
      <c r="I6" s="10">
        <v>10000</v>
      </c>
      <c r="J6" s="10"/>
      <c r="K6" s="10"/>
      <c r="L6" s="10"/>
    </row>
    <row r="7" spans="1:12" ht="36" customHeight="1" x14ac:dyDescent="0.35">
      <c r="A7" s="19" t="s">
        <v>11</v>
      </c>
      <c r="B7" s="20" t="s">
        <v>12</v>
      </c>
      <c r="C7" s="21" t="s">
        <v>13</v>
      </c>
      <c r="D7" s="20" t="s">
        <v>14</v>
      </c>
      <c r="E7" s="20" t="s">
        <v>15</v>
      </c>
      <c r="F7" s="20" t="s">
        <v>16</v>
      </c>
      <c r="G7" s="21" t="s">
        <v>17</v>
      </c>
      <c r="H7" s="7" t="s">
        <v>18</v>
      </c>
      <c r="I7" s="7"/>
      <c r="J7" s="7"/>
      <c r="K7" s="7"/>
      <c r="L7" s="7"/>
    </row>
    <row r="8" spans="1:12" ht="15.75" customHeight="1" x14ac:dyDescent="0.35">
      <c r="A8" s="22">
        <f>IF($B$4="","",IF(ISNUMBER($B$4),$B$4+0,""))</f>
        <v>46079</v>
      </c>
      <c r="B8" s="23" t="str">
        <f t="shared" ref="B8:B38" si="0">IF(A8="","",CHOOSE(WEEKDAY(A8,2),"LUN","MAR","MER","JEU","VEN","SAM","DIM"))</f>
        <v>JEU</v>
      </c>
      <c r="C8" s="24">
        <f t="shared" ref="C8:C38" si="1">IF(A8="","",IF(A8&lt;$B$4,"",INT((A8-$B$4+WEEKDAY($B$4,2)-1)/7)+1))</f>
        <v>1</v>
      </c>
      <c r="D8" s="25" t="s">
        <v>21</v>
      </c>
      <c r="E8" s="26">
        <v>4</v>
      </c>
      <c r="F8" s="26">
        <v>4</v>
      </c>
      <c r="G8" s="27" t="str">
        <f t="shared" ref="G8:G38" si="2">IF(A8="","",IF(WEEKDAY(A8,2)=7,"OUI","NON"))</f>
        <v>NON</v>
      </c>
      <c r="H8" s="6">
        <f t="shared" ref="H8:H38" si="3">IF(A8="","",IF(D8="A","ABSENT",IF(D8="C","CONGÉ",IF(D8="M","MALADE",IF(D8="P",E8+F8,"")))))</f>
        <v>8</v>
      </c>
      <c r="I8" s="6"/>
      <c r="J8" s="6"/>
      <c r="K8" s="6"/>
      <c r="L8" s="6"/>
    </row>
    <row r="9" spans="1:12" ht="15.75" customHeight="1" x14ac:dyDescent="0.35">
      <c r="A9" s="28">
        <f>IF($B$4="","",IF(ISNUMBER($B$4),$B$4+1,""))</f>
        <v>46080</v>
      </c>
      <c r="B9" s="29" t="str">
        <f t="shared" si="0"/>
        <v>VEN</v>
      </c>
      <c r="C9" s="30">
        <f t="shared" si="1"/>
        <v>1</v>
      </c>
      <c r="D9" s="25" t="s">
        <v>19</v>
      </c>
      <c r="E9" s="26">
        <v>4</v>
      </c>
      <c r="F9" s="26">
        <v>4</v>
      </c>
      <c r="G9" s="27" t="str">
        <f t="shared" si="2"/>
        <v>NON</v>
      </c>
      <c r="H9" s="6" t="str">
        <f t="shared" si="3"/>
        <v>CONGÉ</v>
      </c>
      <c r="I9" s="6"/>
      <c r="J9" s="6"/>
      <c r="K9" s="6"/>
      <c r="L9" s="6"/>
    </row>
    <row r="10" spans="1:12" ht="15.75" customHeight="1" x14ac:dyDescent="0.35">
      <c r="A10" s="22">
        <f>IF($B$4="","",IF(ISNUMBER($B$4),$B$4+2,""))</f>
        <v>46081</v>
      </c>
      <c r="B10" s="23" t="str">
        <f t="shared" si="0"/>
        <v>SAM</v>
      </c>
      <c r="C10" s="24">
        <f t="shared" si="1"/>
        <v>1</v>
      </c>
      <c r="D10" s="31" t="s">
        <v>20</v>
      </c>
      <c r="E10" s="26">
        <v>4</v>
      </c>
      <c r="F10" s="26">
        <v>4</v>
      </c>
      <c r="G10" s="27" t="str">
        <f t="shared" si="2"/>
        <v>NON</v>
      </c>
      <c r="H10" s="6" t="str">
        <f t="shared" si="3"/>
        <v>MALADE</v>
      </c>
      <c r="I10" s="6"/>
      <c r="J10" s="6"/>
      <c r="K10" s="6"/>
      <c r="L10" s="6"/>
    </row>
    <row r="11" spans="1:12" ht="15.75" customHeight="1" x14ac:dyDescent="0.35">
      <c r="A11" s="28">
        <f>IF($B$4="","",IF(ISNUMBER($B$4),$B$4+3,""))</f>
        <v>46082</v>
      </c>
      <c r="B11" s="29" t="str">
        <f t="shared" si="0"/>
        <v>DIM</v>
      </c>
      <c r="C11" s="30">
        <f t="shared" si="1"/>
        <v>1</v>
      </c>
      <c r="D11" s="25" t="s">
        <v>2</v>
      </c>
      <c r="E11" s="26">
        <v>4</v>
      </c>
      <c r="F11" s="26">
        <v>4</v>
      </c>
      <c r="G11" s="27" t="s">
        <v>64</v>
      </c>
      <c r="H11" s="6" t="str">
        <f t="shared" si="3"/>
        <v>ABSENT</v>
      </c>
      <c r="I11" s="6"/>
      <c r="J11" s="6"/>
      <c r="K11" s="6"/>
      <c r="L11" s="6"/>
    </row>
    <row r="12" spans="1:12" ht="15.75" customHeight="1" x14ac:dyDescent="0.35">
      <c r="A12" s="22">
        <f>IF($B$4="","",IF(ISNUMBER($B$4),$B$4+4,""))</f>
        <v>46083</v>
      </c>
      <c r="B12" s="23" t="str">
        <f t="shared" si="0"/>
        <v>LUN</v>
      </c>
      <c r="C12" s="24">
        <f t="shared" si="1"/>
        <v>2</v>
      </c>
      <c r="D12" s="25" t="s">
        <v>21</v>
      </c>
      <c r="E12" s="26">
        <v>4</v>
      </c>
      <c r="F12" s="26">
        <v>4</v>
      </c>
      <c r="G12" s="27" t="str">
        <f t="shared" si="2"/>
        <v>NON</v>
      </c>
      <c r="H12" s="6">
        <f t="shared" si="3"/>
        <v>8</v>
      </c>
      <c r="I12" s="6"/>
      <c r="J12" s="6"/>
      <c r="K12" s="6"/>
      <c r="L12" s="6"/>
    </row>
    <row r="13" spans="1:12" ht="15.75" customHeight="1" x14ac:dyDescent="0.35">
      <c r="A13" s="28">
        <f>IF($B$4="","",IF(ISNUMBER($B$4),$B$4+5,""))</f>
        <v>46084</v>
      </c>
      <c r="B13" s="29" t="str">
        <f t="shared" si="0"/>
        <v>MAR</v>
      </c>
      <c r="C13" s="30">
        <f t="shared" si="1"/>
        <v>2</v>
      </c>
      <c r="D13" s="25" t="s">
        <v>21</v>
      </c>
      <c r="E13" s="26">
        <v>4</v>
      </c>
      <c r="F13" s="26">
        <v>4</v>
      </c>
      <c r="G13" s="27" t="str">
        <f t="shared" si="2"/>
        <v>NON</v>
      </c>
      <c r="H13" s="6">
        <f t="shared" si="3"/>
        <v>8</v>
      </c>
      <c r="I13" s="6"/>
      <c r="J13" s="6"/>
      <c r="K13" s="6"/>
      <c r="L13" s="6"/>
    </row>
    <row r="14" spans="1:12" ht="15.75" customHeight="1" x14ac:dyDescent="0.35">
      <c r="A14" s="22">
        <f>IF($B$4="","",IF(ISNUMBER($B$4),$B$4+6,""))</f>
        <v>46085</v>
      </c>
      <c r="B14" s="23" t="str">
        <f t="shared" si="0"/>
        <v>MER</v>
      </c>
      <c r="C14" s="24">
        <f t="shared" si="1"/>
        <v>2</v>
      </c>
      <c r="D14" s="25" t="s">
        <v>21</v>
      </c>
      <c r="E14" s="26">
        <v>4</v>
      </c>
      <c r="F14" s="26">
        <v>4</v>
      </c>
      <c r="G14" s="27" t="str">
        <f t="shared" si="2"/>
        <v>NON</v>
      </c>
      <c r="H14" s="6">
        <f t="shared" si="3"/>
        <v>8</v>
      </c>
      <c r="I14" s="6"/>
      <c r="J14" s="6"/>
      <c r="K14" s="6"/>
      <c r="L14" s="6"/>
    </row>
    <row r="15" spans="1:12" ht="15.75" customHeight="1" x14ac:dyDescent="0.35">
      <c r="A15" s="28">
        <f>IF($B$4="","",IF(ISNUMBER($B$4),$B$4+7,""))</f>
        <v>46086</v>
      </c>
      <c r="B15" s="29" t="str">
        <f t="shared" si="0"/>
        <v>JEU</v>
      </c>
      <c r="C15" s="30">
        <f t="shared" si="1"/>
        <v>2</v>
      </c>
      <c r="D15" s="25" t="s">
        <v>21</v>
      </c>
      <c r="E15" s="26">
        <v>4</v>
      </c>
      <c r="F15" s="26">
        <v>4</v>
      </c>
      <c r="G15" s="27" t="str">
        <f t="shared" si="2"/>
        <v>NON</v>
      </c>
      <c r="H15" s="6">
        <f t="shared" si="3"/>
        <v>8</v>
      </c>
      <c r="I15" s="6"/>
      <c r="J15" s="6"/>
      <c r="K15" s="6"/>
      <c r="L15" s="6"/>
    </row>
    <row r="16" spans="1:12" ht="15.75" customHeight="1" x14ac:dyDescent="0.35">
      <c r="A16" s="22">
        <f>IF($B$4="","",IF(ISNUMBER($B$4),$B$4+8,""))</f>
        <v>46087</v>
      </c>
      <c r="B16" s="23" t="str">
        <f t="shared" si="0"/>
        <v>VEN</v>
      </c>
      <c r="C16" s="24">
        <f t="shared" si="1"/>
        <v>2</v>
      </c>
      <c r="D16" s="25" t="s">
        <v>21</v>
      </c>
      <c r="E16" s="26">
        <v>4</v>
      </c>
      <c r="F16" s="26">
        <v>4</v>
      </c>
      <c r="G16" s="27" t="str">
        <f t="shared" si="2"/>
        <v>NON</v>
      </c>
      <c r="H16" s="6">
        <f t="shared" si="3"/>
        <v>8</v>
      </c>
      <c r="I16" s="6"/>
      <c r="J16" s="6"/>
      <c r="K16" s="6"/>
      <c r="L16" s="6"/>
    </row>
    <row r="17" spans="1:12" ht="15.75" customHeight="1" x14ac:dyDescent="0.35">
      <c r="A17" s="28">
        <f>IF($B$4="","",IF(ISNUMBER($B$4),$B$4+9,""))</f>
        <v>46088</v>
      </c>
      <c r="B17" s="29" t="str">
        <f t="shared" si="0"/>
        <v>SAM</v>
      </c>
      <c r="C17" s="30">
        <f t="shared" si="1"/>
        <v>2</v>
      </c>
      <c r="D17" s="25" t="s">
        <v>21</v>
      </c>
      <c r="E17" s="26">
        <v>4</v>
      </c>
      <c r="F17" s="26">
        <v>4</v>
      </c>
      <c r="G17" s="27" t="str">
        <f t="shared" si="2"/>
        <v>NON</v>
      </c>
      <c r="H17" s="6">
        <f t="shared" si="3"/>
        <v>8</v>
      </c>
      <c r="I17" s="6"/>
      <c r="J17" s="6"/>
      <c r="K17" s="6"/>
      <c r="L17" s="6"/>
    </row>
    <row r="18" spans="1:12" ht="15.75" customHeight="1" x14ac:dyDescent="0.35">
      <c r="A18" s="22">
        <f>IF($B$4="","",IF(ISNUMBER($B$4),$B$4+10,""))</f>
        <v>46089</v>
      </c>
      <c r="B18" s="23" t="str">
        <f t="shared" si="0"/>
        <v>DIM</v>
      </c>
      <c r="C18" s="24">
        <f t="shared" si="1"/>
        <v>2</v>
      </c>
      <c r="D18" s="25" t="s">
        <v>21</v>
      </c>
      <c r="E18" s="26">
        <v>4</v>
      </c>
      <c r="F18" s="26">
        <v>4</v>
      </c>
      <c r="G18" s="27" t="str">
        <f t="shared" si="2"/>
        <v>OUI</v>
      </c>
      <c r="H18" s="6">
        <f t="shared" si="3"/>
        <v>8</v>
      </c>
      <c r="I18" s="6"/>
      <c r="J18" s="6"/>
      <c r="K18" s="6"/>
      <c r="L18" s="6"/>
    </row>
    <row r="19" spans="1:12" ht="15.75" customHeight="1" x14ac:dyDescent="0.35">
      <c r="A19" s="28">
        <f>IF($B$4="","",IF(ISNUMBER($B$4),$B$4+11,""))</f>
        <v>46090</v>
      </c>
      <c r="B19" s="29" t="str">
        <f t="shared" si="0"/>
        <v>LUN</v>
      </c>
      <c r="C19" s="30">
        <f t="shared" si="1"/>
        <v>3</v>
      </c>
      <c r="D19" s="25" t="s">
        <v>21</v>
      </c>
      <c r="E19" s="26">
        <v>4</v>
      </c>
      <c r="F19" s="26">
        <v>4</v>
      </c>
      <c r="G19" s="27" t="str">
        <f t="shared" si="2"/>
        <v>NON</v>
      </c>
      <c r="H19" s="6">
        <f t="shared" si="3"/>
        <v>8</v>
      </c>
      <c r="I19" s="6"/>
      <c r="J19" s="6"/>
      <c r="K19" s="6"/>
      <c r="L19" s="6"/>
    </row>
    <row r="20" spans="1:12" ht="15.75" customHeight="1" x14ac:dyDescent="0.35">
      <c r="A20" s="22">
        <f>IF($B$4="","",IF(ISNUMBER($B$4),$B$4+12,""))</f>
        <v>46091</v>
      </c>
      <c r="B20" s="23" t="str">
        <f t="shared" si="0"/>
        <v>MAR</v>
      </c>
      <c r="C20" s="24">
        <f t="shared" si="1"/>
        <v>3</v>
      </c>
      <c r="D20" s="25" t="s">
        <v>21</v>
      </c>
      <c r="E20" s="26">
        <v>4</v>
      </c>
      <c r="F20" s="26">
        <v>4</v>
      </c>
      <c r="G20" s="27" t="str">
        <f t="shared" si="2"/>
        <v>NON</v>
      </c>
      <c r="H20" s="6">
        <f t="shared" si="3"/>
        <v>8</v>
      </c>
      <c r="I20" s="6"/>
      <c r="J20" s="6"/>
      <c r="K20" s="6"/>
      <c r="L20" s="6"/>
    </row>
    <row r="21" spans="1:12" ht="15.75" customHeight="1" x14ac:dyDescent="0.35">
      <c r="A21" s="28">
        <f>IF($B$4="","",IF(ISNUMBER($B$4),$B$4+13,""))</f>
        <v>46092</v>
      </c>
      <c r="B21" s="29" t="str">
        <f t="shared" si="0"/>
        <v>MER</v>
      </c>
      <c r="C21" s="30">
        <f t="shared" si="1"/>
        <v>3</v>
      </c>
      <c r="D21" s="25" t="s">
        <v>21</v>
      </c>
      <c r="E21" s="26">
        <v>4</v>
      </c>
      <c r="F21" s="26">
        <v>4</v>
      </c>
      <c r="G21" s="27" t="str">
        <f t="shared" si="2"/>
        <v>NON</v>
      </c>
      <c r="H21" s="6">
        <f t="shared" si="3"/>
        <v>8</v>
      </c>
      <c r="I21" s="6"/>
      <c r="J21" s="6"/>
      <c r="K21" s="6"/>
      <c r="L21" s="6"/>
    </row>
    <row r="22" spans="1:12" ht="15.75" customHeight="1" x14ac:dyDescent="0.35">
      <c r="A22" s="22">
        <f>IF($B$4="","",IF(ISNUMBER($B$4),$B$4+14,""))</f>
        <v>46093</v>
      </c>
      <c r="B22" s="23" t="str">
        <f t="shared" si="0"/>
        <v>JEU</v>
      </c>
      <c r="C22" s="24">
        <f t="shared" si="1"/>
        <v>3</v>
      </c>
      <c r="D22" s="25" t="s">
        <v>21</v>
      </c>
      <c r="E22" s="26">
        <v>4</v>
      </c>
      <c r="F22" s="26">
        <v>4</v>
      </c>
      <c r="G22" s="27" t="str">
        <f t="shared" si="2"/>
        <v>NON</v>
      </c>
      <c r="H22" s="6">
        <f t="shared" si="3"/>
        <v>8</v>
      </c>
      <c r="I22" s="6"/>
      <c r="J22" s="6"/>
      <c r="K22" s="6"/>
      <c r="L22" s="6"/>
    </row>
    <row r="23" spans="1:12" ht="15.75" customHeight="1" x14ac:dyDescent="0.35">
      <c r="A23" s="28">
        <f>IF($B$4="","",IF(ISNUMBER($B$4),$B$4+15,""))</f>
        <v>46094</v>
      </c>
      <c r="B23" s="29" t="str">
        <f t="shared" si="0"/>
        <v>VEN</v>
      </c>
      <c r="C23" s="30">
        <f t="shared" si="1"/>
        <v>3</v>
      </c>
      <c r="D23" s="25" t="s">
        <v>21</v>
      </c>
      <c r="E23" s="26">
        <v>4</v>
      </c>
      <c r="F23" s="26">
        <v>4</v>
      </c>
      <c r="G23" s="27" t="str">
        <f t="shared" si="2"/>
        <v>NON</v>
      </c>
      <c r="H23" s="6">
        <f t="shared" si="3"/>
        <v>8</v>
      </c>
      <c r="I23" s="6"/>
      <c r="J23" s="6"/>
      <c r="K23" s="6"/>
      <c r="L23" s="6"/>
    </row>
    <row r="24" spans="1:12" ht="15.75" customHeight="1" x14ac:dyDescent="0.35">
      <c r="A24" s="22">
        <f>IF($B$4="","",IF(ISNUMBER($B$4),$B$4+16,""))</f>
        <v>46095</v>
      </c>
      <c r="B24" s="23" t="str">
        <f t="shared" si="0"/>
        <v>SAM</v>
      </c>
      <c r="C24" s="24">
        <f t="shared" si="1"/>
        <v>3</v>
      </c>
      <c r="D24" s="25" t="s">
        <v>21</v>
      </c>
      <c r="E24" s="26">
        <v>4</v>
      </c>
      <c r="F24" s="26">
        <v>4</v>
      </c>
      <c r="G24" s="27" t="str">
        <f t="shared" si="2"/>
        <v>NON</v>
      </c>
      <c r="H24" s="6">
        <f t="shared" si="3"/>
        <v>8</v>
      </c>
      <c r="I24" s="6"/>
      <c r="J24" s="6"/>
      <c r="K24" s="6"/>
      <c r="L24" s="6"/>
    </row>
    <row r="25" spans="1:12" ht="15.75" customHeight="1" x14ac:dyDescent="0.35">
      <c r="A25" s="28">
        <f>IF($B$4="","",IF(ISNUMBER($B$4),$B$4+17,""))</f>
        <v>46096</v>
      </c>
      <c r="B25" s="29" t="str">
        <f t="shared" si="0"/>
        <v>DIM</v>
      </c>
      <c r="C25" s="30">
        <f t="shared" si="1"/>
        <v>3</v>
      </c>
      <c r="D25" s="25" t="s">
        <v>21</v>
      </c>
      <c r="E25" s="26">
        <v>4</v>
      </c>
      <c r="F25" s="26">
        <v>4</v>
      </c>
      <c r="G25" s="27" t="str">
        <f t="shared" si="2"/>
        <v>OUI</v>
      </c>
      <c r="H25" s="6">
        <f t="shared" si="3"/>
        <v>8</v>
      </c>
      <c r="I25" s="6"/>
      <c r="J25" s="6"/>
      <c r="K25" s="6"/>
      <c r="L25" s="6"/>
    </row>
    <row r="26" spans="1:12" ht="15.75" customHeight="1" x14ac:dyDescent="0.35">
      <c r="A26" s="22">
        <f>IF($B$4="","",IF(ISNUMBER($B$4),$B$4+18,""))</f>
        <v>46097</v>
      </c>
      <c r="B26" s="23" t="str">
        <f t="shared" si="0"/>
        <v>LUN</v>
      </c>
      <c r="C26" s="24">
        <f t="shared" si="1"/>
        <v>4</v>
      </c>
      <c r="D26" s="25" t="s">
        <v>21</v>
      </c>
      <c r="E26" s="26">
        <v>4</v>
      </c>
      <c r="F26" s="26">
        <v>4</v>
      </c>
      <c r="G26" s="27" t="str">
        <f t="shared" si="2"/>
        <v>NON</v>
      </c>
      <c r="H26" s="6">
        <f t="shared" si="3"/>
        <v>8</v>
      </c>
      <c r="I26" s="6"/>
      <c r="J26" s="6"/>
      <c r="K26" s="6"/>
      <c r="L26" s="6"/>
    </row>
    <row r="27" spans="1:12" ht="15.75" customHeight="1" x14ac:dyDescent="0.35">
      <c r="A27" s="28">
        <f>IF($B$4="","",IF(ISNUMBER($B$4),$B$4+19,""))</f>
        <v>46098</v>
      </c>
      <c r="B27" s="29" t="str">
        <f t="shared" si="0"/>
        <v>MAR</v>
      </c>
      <c r="C27" s="30">
        <f t="shared" si="1"/>
        <v>4</v>
      </c>
      <c r="D27" s="25" t="s">
        <v>21</v>
      </c>
      <c r="E27" s="26">
        <v>4</v>
      </c>
      <c r="F27" s="26">
        <v>4</v>
      </c>
      <c r="G27" s="27" t="str">
        <f t="shared" si="2"/>
        <v>NON</v>
      </c>
      <c r="H27" s="6">
        <f t="shared" si="3"/>
        <v>8</v>
      </c>
      <c r="I27" s="6"/>
      <c r="J27" s="6"/>
      <c r="K27" s="6"/>
      <c r="L27" s="6"/>
    </row>
    <row r="28" spans="1:12" ht="15.75" customHeight="1" x14ac:dyDescent="0.35">
      <c r="A28" s="22">
        <f>IF($B$4="","",IF(ISNUMBER($B$4),$B$4+20,""))</f>
        <v>46099</v>
      </c>
      <c r="B28" s="23" t="str">
        <f t="shared" si="0"/>
        <v>MER</v>
      </c>
      <c r="C28" s="24">
        <f t="shared" si="1"/>
        <v>4</v>
      </c>
      <c r="D28" s="25" t="s">
        <v>21</v>
      </c>
      <c r="E28" s="26">
        <v>4</v>
      </c>
      <c r="F28" s="26">
        <v>4</v>
      </c>
      <c r="G28" s="27" t="str">
        <f t="shared" si="2"/>
        <v>NON</v>
      </c>
      <c r="H28" s="6">
        <f t="shared" si="3"/>
        <v>8</v>
      </c>
      <c r="I28" s="6"/>
      <c r="J28" s="6"/>
      <c r="K28" s="6"/>
      <c r="L28" s="6"/>
    </row>
    <row r="29" spans="1:12" ht="15.75" customHeight="1" x14ac:dyDescent="0.35">
      <c r="A29" s="28">
        <f>IF($B$4="","",IF(ISNUMBER($B$4),$B$4+21,""))</f>
        <v>46100</v>
      </c>
      <c r="B29" s="29" t="str">
        <f t="shared" si="0"/>
        <v>JEU</v>
      </c>
      <c r="C29" s="30">
        <f t="shared" si="1"/>
        <v>4</v>
      </c>
      <c r="D29" s="25" t="s">
        <v>21</v>
      </c>
      <c r="E29" s="26">
        <v>4</v>
      </c>
      <c r="F29" s="26">
        <v>4</v>
      </c>
      <c r="G29" s="27" t="str">
        <f t="shared" si="2"/>
        <v>NON</v>
      </c>
      <c r="H29" s="6">
        <f t="shared" si="3"/>
        <v>8</v>
      </c>
      <c r="I29" s="6"/>
      <c r="J29" s="6"/>
      <c r="K29" s="6"/>
      <c r="L29" s="6"/>
    </row>
    <row r="30" spans="1:12" ht="15.75" customHeight="1" x14ac:dyDescent="0.35">
      <c r="A30" s="22">
        <f>IF($B$4="","",IF(ISNUMBER($B$4),$B$4+22,""))</f>
        <v>46101</v>
      </c>
      <c r="B30" s="23" t="str">
        <f t="shared" si="0"/>
        <v>VEN</v>
      </c>
      <c r="C30" s="24">
        <f t="shared" si="1"/>
        <v>4</v>
      </c>
      <c r="D30" s="25" t="s">
        <v>21</v>
      </c>
      <c r="E30" s="26">
        <v>4</v>
      </c>
      <c r="F30" s="26">
        <v>4</v>
      </c>
      <c r="G30" s="27" t="str">
        <f t="shared" si="2"/>
        <v>NON</v>
      </c>
      <c r="H30" s="6">
        <f t="shared" si="3"/>
        <v>8</v>
      </c>
      <c r="I30" s="6"/>
      <c r="J30" s="6"/>
      <c r="K30" s="6"/>
      <c r="L30" s="6"/>
    </row>
    <row r="31" spans="1:12" ht="15.75" customHeight="1" x14ac:dyDescent="0.35">
      <c r="A31" s="28">
        <f>IF($B$4="","",IF(ISNUMBER($B$4),$B$4+23,""))</f>
        <v>46102</v>
      </c>
      <c r="B31" s="29" t="str">
        <f t="shared" si="0"/>
        <v>SAM</v>
      </c>
      <c r="C31" s="30">
        <f t="shared" si="1"/>
        <v>4</v>
      </c>
      <c r="D31" s="25" t="s">
        <v>21</v>
      </c>
      <c r="E31" s="26">
        <v>4</v>
      </c>
      <c r="F31" s="26">
        <v>4</v>
      </c>
      <c r="G31" s="27" t="str">
        <f t="shared" si="2"/>
        <v>NON</v>
      </c>
      <c r="H31" s="6">
        <f t="shared" si="3"/>
        <v>8</v>
      </c>
      <c r="I31" s="6"/>
      <c r="J31" s="6"/>
      <c r="K31" s="6"/>
      <c r="L31" s="6"/>
    </row>
    <row r="32" spans="1:12" ht="15.75" customHeight="1" x14ac:dyDescent="0.35">
      <c r="A32" s="22">
        <f>IF($B$4="","",IF(ISNUMBER($B$4),$B$4+24,""))</f>
        <v>46103</v>
      </c>
      <c r="B32" s="23" t="str">
        <f t="shared" si="0"/>
        <v>DIM</v>
      </c>
      <c r="C32" s="24">
        <f t="shared" si="1"/>
        <v>4</v>
      </c>
      <c r="D32" s="25" t="s">
        <v>21</v>
      </c>
      <c r="E32" s="26">
        <v>4</v>
      </c>
      <c r="F32" s="26">
        <v>4</v>
      </c>
      <c r="G32" s="27" t="str">
        <f t="shared" si="2"/>
        <v>OUI</v>
      </c>
      <c r="H32" s="6">
        <f t="shared" si="3"/>
        <v>8</v>
      </c>
      <c r="I32" s="6"/>
      <c r="J32" s="6"/>
      <c r="K32" s="6"/>
      <c r="L32" s="6"/>
    </row>
    <row r="33" spans="1:12" ht="15.75" customHeight="1" x14ac:dyDescent="0.35">
      <c r="A33" s="28">
        <f>IF($B$4="","",IF(ISNUMBER($B$4),$B$4+25,""))</f>
        <v>46104</v>
      </c>
      <c r="B33" s="29" t="str">
        <f t="shared" si="0"/>
        <v>LUN</v>
      </c>
      <c r="C33" s="30">
        <f t="shared" si="1"/>
        <v>5</v>
      </c>
      <c r="D33" s="25" t="s">
        <v>21</v>
      </c>
      <c r="E33" s="26">
        <v>4</v>
      </c>
      <c r="F33" s="26">
        <v>4</v>
      </c>
      <c r="G33" s="27" t="str">
        <f t="shared" si="2"/>
        <v>NON</v>
      </c>
      <c r="H33" s="6">
        <f t="shared" si="3"/>
        <v>8</v>
      </c>
      <c r="I33" s="6"/>
      <c r="J33" s="6"/>
      <c r="K33" s="6"/>
      <c r="L33" s="6"/>
    </row>
    <row r="34" spans="1:12" ht="15.75" customHeight="1" x14ac:dyDescent="0.35">
      <c r="A34" s="22">
        <f>IF($B$4="","",IF(ISNUMBER($B$4),$B$4+26,""))</f>
        <v>46105</v>
      </c>
      <c r="B34" s="23" t="str">
        <f t="shared" si="0"/>
        <v>MAR</v>
      </c>
      <c r="C34" s="24">
        <f t="shared" si="1"/>
        <v>5</v>
      </c>
      <c r="D34" s="25" t="s">
        <v>21</v>
      </c>
      <c r="E34" s="26">
        <v>4</v>
      </c>
      <c r="F34" s="26">
        <v>4</v>
      </c>
      <c r="G34" s="27" t="str">
        <f t="shared" si="2"/>
        <v>NON</v>
      </c>
      <c r="H34" s="6">
        <f t="shared" si="3"/>
        <v>8</v>
      </c>
      <c r="I34" s="6"/>
      <c r="J34" s="6"/>
      <c r="K34" s="6"/>
      <c r="L34" s="6"/>
    </row>
    <row r="35" spans="1:12" ht="15.75" customHeight="1" x14ac:dyDescent="0.35">
      <c r="A35" s="28">
        <f>IF($B$4="","",IF(ISNUMBER($B$4),$B$4+27,""))</f>
        <v>46106</v>
      </c>
      <c r="B35" s="29" t="str">
        <f t="shared" si="0"/>
        <v>MER</v>
      </c>
      <c r="C35" s="30">
        <f t="shared" si="1"/>
        <v>5</v>
      </c>
      <c r="D35" s="25" t="s">
        <v>21</v>
      </c>
      <c r="E35" s="26">
        <v>4</v>
      </c>
      <c r="F35" s="26">
        <v>4</v>
      </c>
      <c r="G35" s="27" t="str">
        <f t="shared" si="2"/>
        <v>NON</v>
      </c>
      <c r="H35" s="6">
        <f t="shared" si="3"/>
        <v>8</v>
      </c>
      <c r="I35" s="6"/>
      <c r="J35" s="6"/>
      <c r="K35" s="6"/>
      <c r="L35" s="6"/>
    </row>
    <row r="36" spans="1:12" ht="15.75" customHeight="1" x14ac:dyDescent="0.35">
      <c r="A36" s="22">
        <f>IF($B$4="","",IF(ISNUMBER($B$4),$B$4+28,""))</f>
        <v>46107</v>
      </c>
      <c r="B36" s="23" t="str">
        <f t="shared" si="0"/>
        <v>JEU</v>
      </c>
      <c r="C36" s="24">
        <f t="shared" si="1"/>
        <v>5</v>
      </c>
      <c r="D36" s="25" t="s">
        <v>21</v>
      </c>
      <c r="E36" s="26">
        <v>4</v>
      </c>
      <c r="F36" s="26">
        <v>4</v>
      </c>
      <c r="G36" s="27" t="str">
        <f t="shared" si="2"/>
        <v>NON</v>
      </c>
      <c r="H36" s="6">
        <f t="shared" si="3"/>
        <v>8</v>
      </c>
      <c r="I36" s="6"/>
      <c r="J36" s="6"/>
      <c r="K36" s="6"/>
      <c r="L36" s="6"/>
    </row>
    <row r="37" spans="1:12" ht="15.75" customHeight="1" x14ac:dyDescent="0.35">
      <c r="A37" s="28">
        <f>IF($B$4="","",IF(ISNUMBER($B$4),$B$4+29,""))</f>
        <v>46108</v>
      </c>
      <c r="B37" s="29" t="str">
        <f t="shared" si="0"/>
        <v>VEN</v>
      </c>
      <c r="C37" s="30">
        <f t="shared" si="1"/>
        <v>5</v>
      </c>
      <c r="D37" s="25" t="s">
        <v>21</v>
      </c>
      <c r="E37" s="26">
        <v>4</v>
      </c>
      <c r="F37" s="26">
        <v>4</v>
      </c>
      <c r="G37" s="27" t="str">
        <f t="shared" si="2"/>
        <v>NON</v>
      </c>
      <c r="H37" s="6">
        <f t="shared" si="3"/>
        <v>8</v>
      </c>
      <c r="I37" s="6"/>
      <c r="J37" s="6"/>
      <c r="K37" s="6"/>
      <c r="L37" s="6"/>
    </row>
    <row r="38" spans="1:12" ht="15.75" customHeight="1" x14ac:dyDescent="0.35">
      <c r="A38" s="22">
        <f>IF($B$4="","",IF(ISNUMBER($B$4),$B$4+30,""))</f>
        <v>46109</v>
      </c>
      <c r="B38" s="23" t="str">
        <f t="shared" si="0"/>
        <v>SAM</v>
      </c>
      <c r="C38" s="24">
        <f t="shared" si="1"/>
        <v>5</v>
      </c>
      <c r="D38" s="31" t="s">
        <v>21</v>
      </c>
      <c r="E38" s="26">
        <v>4</v>
      </c>
      <c r="F38" s="26">
        <v>4</v>
      </c>
      <c r="G38" s="27" t="str">
        <f t="shared" si="2"/>
        <v>NON</v>
      </c>
      <c r="H38" s="6">
        <f t="shared" si="3"/>
        <v>8</v>
      </c>
      <c r="I38" s="6"/>
      <c r="J38" s="6"/>
      <c r="K38" s="6"/>
      <c r="L38" s="6"/>
    </row>
    <row r="39" spans="1:12" ht="15" customHeight="1" x14ac:dyDescent="0.35"/>
    <row r="40" spans="1:12" ht="19.5" customHeight="1" x14ac:dyDescent="0.35">
      <c r="A40" s="5" t="s">
        <v>22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24" customHeight="1" x14ac:dyDescent="0.35">
      <c r="A41" s="4" t="s">
        <v>23</v>
      </c>
      <c r="B41" s="4"/>
      <c r="C41" s="4"/>
      <c r="D41" s="4"/>
      <c r="E41" s="4"/>
      <c r="F41" s="3">
        <v>20</v>
      </c>
      <c r="G41" s="3"/>
      <c r="H41" s="3"/>
      <c r="I41" s="3"/>
      <c r="J41" s="3"/>
      <c r="K41" s="3"/>
      <c r="L41" s="3"/>
    </row>
    <row r="42" spans="1:12" ht="9.75" customHeight="1" x14ac:dyDescent="0.35"/>
    <row r="43" spans="1:12" ht="19.5" customHeight="1" x14ac:dyDescent="0.35">
      <c r="A43" s="2" t="s">
        <v>24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31.5" customHeight="1" x14ac:dyDescent="0.35">
      <c r="A44" s="1" t="s">
        <v>13</v>
      </c>
      <c r="B44" s="1"/>
      <c r="C44" s="32" t="s">
        <v>25</v>
      </c>
      <c r="D44" s="33" t="s">
        <v>26</v>
      </c>
      <c r="E44" s="50" t="s">
        <v>27</v>
      </c>
      <c r="F44" s="50"/>
      <c r="G44" s="32" t="s">
        <v>28</v>
      </c>
      <c r="H44" s="34" t="s">
        <v>29</v>
      </c>
      <c r="I44" s="34" t="s">
        <v>30</v>
      </c>
      <c r="J44" s="34" t="s">
        <v>31</v>
      </c>
      <c r="K44" s="34" t="s">
        <v>32</v>
      </c>
      <c r="L44" s="34" t="s">
        <v>33</v>
      </c>
    </row>
    <row r="45" spans="1:12" ht="18" customHeight="1" x14ac:dyDescent="0.35">
      <c r="A45" s="51" t="s">
        <v>34</v>
      </c>
      <c r="B45" s="51"/>
      <c r="C45" s="35">
        <f t="array" ref="C45">SUMPRODUCT((C8:C38=1)*(D8:D38="P")*(G8:G38&lt;&gt;"OUI")*(ISNUMBER(E8:E38))*(A8:A38&gt;=$B$4)*(A8:A38&lt;=$B$5)*(E8:E38+F8:F38))</f>
        <v>8</v>
      </c>
      <c r="D45" s="35">
        <f>SUMPRODUCT((C8:C38=1)*(D8:D38="P")*(G8:G38="OUI")*(ISNUMBER(E8:E38))*(A8:A38&gt;=$B$4)*(A8:A38&lt;=$B$5)*(E8:E38+F8:F38))</f>
        <v>0</v>
      </c>
      <c r="E45" s="52">
        <f>$F$41</f>
        <v>20</v>
      </c>
      <c r="F45" s="52"/>
      <c r="G45" s="35">
        <f>MAX(0,MIN(C45+E45,40)-MIN(E45,40))</f>
        <v>8</v>
      </c>
      <c r="H45" s="35">
        <f>MAX(0,MIN(MAX(C45+E45-40,0),8)-MAX(E45-40,0))</f>
        <v>0</v>
      </c>
      <c r="I45" s="35">
        <f>MAX(0,C45+E45-48-MAX(E45-48,0))</f>
        <v>0</v>
      </c>
      <c r="J45" s="35">
        <f>D45</f>
        <v>0</v>
      </c>
      <c r="K45" s="36">
        <f>C45+D45</f>
        <v>8</v>
      </c>
      <c r="L45" s="37">
        <f>G45+H45+I45+J45</f>
        <v>8</v>
      </c>
    </row>
    <row r="46" spans="1:12" ht="18" customHeight="1" x14ac:dyDescent="0.35">
      <c r="A46" s="51" t="s">
        <v>35</v>
      </c>
      <c r="B46" s="51"/>
      <c r="C46" s="35">
        <f>SUMPRODUCT((C8:C38=2)*(D8:D38="P")*(G8:G38&lt;&gt;"OUI")*(ISNUMBER(E8:E38))*(A8:A38&gt;=$B$4)*(A8:A38&lt;=$B$5)*(E8:E38+F8:F38))</f>
        <v>48</v>
      </c>
      <c r="D46" s="35">
        <f>SUMPRODUCT((C8:C38=2)*(D8:D38="P")*(G8:G38="OUI")*(ISNUMBER(E8:E38))*(A8:A38&gt;=$B$4)*(A8:A38&lt;=$B$5)*(E8:E38+F8:F38))</f>
        <v>8</v>
      </c>
      <c r="E46" s="53">
        <f>0</f>
        <v>0</v>
      </c>
      <c r="F46" s="53"/>
      <c r="G46" s="35">
        <f>MAX(0,MIN(C46+E46,40)-MIN(E46,40))</f>
        <v>40</v>
      </c>
      <c r="H46" s="35">
        <f>MAX(0,MIN(MAX(C46+E46-40,0),8)-MAX(E46-40,0))</f>
        <v>8</v>
      </c>
      <c r="I46" s="35">
        <f>MAX(0,C46+E46-48-MAX(E46-48,0))</f>
        <v>0</v>
      </c>
      <c r="J46" s="35">
        <f>D46</f>
        <v>8</v>
      </c>
      <c r="K46" s="36">
        <f>C46+D46</f>
        <v>56</v>
      </c>
      <c r="L46" s="37">
        <f>G46+H46+I46+J46</f>
        <v>56</v>
      </c>
    </row>
    <row r="47" spans="1:12" ht="18" customHeight="1" x14ac:dyDescent="0.35">
      <c r="A47" s="51" t="s">
        <v>36</v>
      </c>
      <c r="B47" s="51"/>
      <c r="C47" s="35">
        <f>SUMPRODUCT((C8:C38=3)*(D8:D38="P")*(G8:G38&lt;&gt;"OUI")*(ISNUMBER(E8:E38))*(A8:A38&gt;=$B$4)*(A8:A38&lt;=$B$5)*(E8:E38+F8:F38))</f>
        <v>48</v>
      </c>
      <c r="D47" s="35">
        <f>SUMPRODUCT((C8:C38=3)*(D8:D38="P")*(G8:G38="OUI")*(ISNUMBER(E8:E38))*(A8:A38&gt;=$B$4)*(A8:A38&lt;=$B$5)*(E8:E38+F8:F38))</f>
        <v>8</v>
      </c>
      <c r="E47" s="53">
        <f>0</f>
        <v>0</v>
      </c>
      <c r="F47" s="53"/>
      <c r="G47" s="35">
        <f>MAX(0,MIN(C47+E47,40)-MIN(E47,40))</f>
        <v>40</v>
      </c>
      <c r="H47" s="35">
        <f>MAX(0,MIN(MAX(C47+E47-40,0),8)-MAX(E47-40,0))</f>
        <v>8</v>
      </c>
      <c r="I47" s="35">
        <f>MAX(0,C47+E47-48-MAX(E47-48,0))</f>
        <v>0</v>
      </c>
      <c r="J47" s="35">
        <f>D47</f>
        <v>8</v>
      </c>
      <c r="K47" s="36">
        <f>C47+D47</f>
        <v>56</v>
      </c>
      <c r="L47" s="37">
        <f>G47+H47+I47+J47</f>
        <v>56</v>
      </c>
    </row>
    <row r="48" spans="1:12" ht="18" customHeight="1" x14ac:dyDescent="0.35">
      <c r="A48" s="51" t="s">
        <v>37</v>
      </c>
      <c r="B48" s="51"/>
      <c r="C48" s="35">
        <f>SUMPRODUCT((C8:C38=4)*(D8:D38="P")*(G8:G38&lt;&gt;"OUI")*(ISNUMBER(E8:E38))*(A8:A38&gt;=$B$4)*(A8:A38&lt;=$B$5)*(E8:E38+F8:F38))</f>
        <v>48</v>
      </c>
      <c r="D48" s="35">
        <f>SUMPRODUCT((C8:C38=4)*(D8:D38="P")*(G8:G38="OUI")*(ISNUMBER(E8:E38))*(A8:A38&gt;=$B$4)*(A8:A38&lt;=$B$5)*(E8:E38+F8:F38))</f>
        <v>8</v>
      </c>
      <c r="E48" s="53">
        <f>0</f>
        <v>0</v>
      </c>
      <c r="F48" s="53"/>
      <c r="G48" s="35">
        <f>MAX(0,MIN(C48+E48,40)-MIN(E48,40))</f>
        <v>40</v>
      </c>
      <c r="H48" s="35">
        <f>MAX(0,MIN(MAX(C48+E48-40,0),8)-MAX(E48-40,0))</f>
        <v>8</v>
      </c>
      <c r="I48" s="35">
        <f>MAX(0,C48+E48-48-MAX(E48-48,0))</f>
        <v>0</v>
      </c>
      <c r="J48" s="35">
        <f>D48</f>
        <v>8</v>
      </c>
      <c r="K48" s="36">
        <f>C48+D48</f>
        <v>56</v>
      </c>
      <c r="L48" s="37">
        <f>G48+H48+I48+J48</f>
        <v>56</v>
      </c>
    </row>
    <row r="49" spans="1:12" ht="18" customHeight="1" x14ac:dyDescent="0.35">
      <c r="A49" s="51" t="s">
        <v>38</v>
      </c>
      <c r="B49" s="51"/>
      <c r="C49" s="35">
        <f>SUMPRODUCT((C8:C38=5)*(D8:D38="P")*(G8:G38&lt;&gt;"OUI")*(ISNUMBER(E8:E38))*(A8:A38&gt;=$B$4)*(A8:A38&lt;=$B$5)*(E8:E38+F8:F38))</f>
        <v>24</v>
      </c>
      <c r="D49" s="35">
        <f>SUMPRODUCT((C8:C38=5)*(D8:D38="P")*(G8:G38="OUI")*(ISNUMBER(E8:E38))*(A8:A38&gt;=$B$4)*(A8:A38&lt;=$B$5)*(E8:E38+F8:F38))</f>
        <v>0</v>
      </c>
      <c r="E49" s="53">
        <f>0</f>
        <v>0</v>
      </c>
      <c r="F49" s="53"/>
      <c r="G49" s="35">
        <f>MAX(0,MIN(C49+E49,40)-MIN(E49,40))</f>
        <v>24</v>
      </c>
      <c r="H49" s="35">
        <f>MAX(0,MIN(MAX(C49+E49-40,0),8)-MAX(E49-40,0))</f>
        <v>0</v>
      </c>
      <c r="I49" s="35">
        <f>MAX(0,C49+E49-48-MAX(E49-48,0))</f>
        <v>0</v>
      </c>
      <c r="J49" s="35">
        <f>D49</f>
        <v>0</v>
      </c>
      <c r="K49" s="36">
        <f>C49+D49</f>
        <v>24</v>
      </c>
      <c r="L49" s="37">
        <f>G49+H49+I49+J49</f>
        <v>24</v>
      </c>
    </row>
    <row r="50" spans="1:12" ht="19.5" customHeight="1" x14ac:dyDescent="0.35">
      <c r="A50" s="54" t="s">
        <v>39</v>
      </c>
      <c r="B50" s="54"/>
      <c r="C50" s="38">
        <f>SUM(C45:C49)</f>
        <v>176</v>
      </c>
      <c r="D50" s="38">
        <f>SUM(D45:D49)</f>
        <v>24</v>
      </c>
      <c r="E50" s="52">
        <f>SUM(E45:E49)</f>
        <v>20</v>
      </c>
      <c r="F50" s="52"/>
      <c r="G50" s="38">
        <f t="shared" ref="G50:L50" si="4">SUM(G45:G49)</f>
        <v>152</v>
      </c>
      <c r="H50" s="38">
        <f t="shared" si="4"/>
        <v>24</v>
      </c>
      <c r="I50" s="38">
        <f t="shared" si="4"/>
        <v>0</v>
      </c>
      <c r="J50" s="38">
        <f t="shared" si="4"/>
        <v>24</v>
      </c>
      <c r="K50" s="38">
        <f t="shared" si="4"/>
        <v>200</v>
      </c>
      <c r="L50" s="38">
        <f t="shared" si="4"/>
        <v>200</v>
      </c>
    </row>
    <row r="51" spans="1:12" ht="12" customHeight="1" x14ac:dyDescent="0.35"/>
    <row r="52" spans="1:12" ht="19.5" customHeight="1" x14ac:dyDescent="0.35">
      <c r="A52" s="2" t="s">
        <v>40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9.5" customHeight="1" x14ac:dyDescent="0.35">
      <c r="A53" s="39" t="s">
        <v>41</v>
      </c>
      <c r="B53" s="39"/>
      <c r="C53" s="39"/>
      <c r="D53" s="40"/>
      <c r="E53" s="55">
        <f>($I$3+$I$4)/173.33</f>
        <v>403.85392026769745</v>
      </c>
      <c r="F53" s="55"/>
      <c r="G53" s="55"/>
      <c r="H53" s="55"/>
      <c r="I53" s="55"/>
      <c r="J53" s="55"/>
      <c r="K53" s="55"/>
      <c r="L53" s="55"/>
    </row>
    <row r="54" spans="1:12" ht="19.5" customHeight="1" x14ac:dyDescent="0.35">
      <c r="A54" s="56" t="s">
        <v>42</v>
      </c>
      <c r="B54" s="56"/>
      <c r="C54" s="56"/>
      <c r="D54" s="41">
        <f>SUMPRODUCT(((D8:D38="P")+(D8:D38="M")&gt;0)*(A8:A38&gt;=$B$4)*(A8:A38&lt;=$B$5)*(ISNUMBER(A8:A38)))</f>
        <v>26</v>
      </c>
      <c r="E54" s="57" t="s">
        <v>43</v>
      </c>
      <c r="F54" s="57"/>
      <c r="G54" s="57"/>
      <c r="H54" s="57"/>
      <c r="I54" s="41">
        <f>IFERROR($B$5-$B$4+1,"")</f>
        <v>28</v>
      </c>
      <c r="J54" s="57" t="s">
        <v>44</v>
      </c>
      <c r="K54" s="57"/>
      <c r="L54" s="42">
        <f>IFERROR(D54/I54,1)</f>
        <v>0.9285714285714286</v>
      </c>
    </row>
    <row r="55" spans="1:12" s="43" customFormat="1" ht="19.5" customHeight="1" x14ac:dyDescent="0.35">
      <c r="E55" s="58"/>
      <c r="F55" s="58"/>
      <c r="G55" s="58"/>
      <c r="H55" s="58"/>
      <c r="I55" s="58"/>
    </row>
    <row r="56" spans="1:12" ht="18" customHeight="1" x14ac:dyDescent="0.35">
      <c r="A56" s="59" t="s">
        <v>45</v>
      </c>
      <c r="B56" s="59"/>
      <c r="C56" s="59"/>
      <c r="D56" s="59"/>
      <c r="E56" s="44" t="s">
        <v>46</v>
      </c>
      <c r="F56" s="45" t="s">
        <v>47</v>
      </c>
      <c r="G56" s="44" t="s">
        <v>48</v>
      </c>
      <c r="H56" s="60" t="s">
        <v>49</v>
      </c>
      <c r="I56" s="60"/>
      <c r="J56" s="60"/>
      <c r="K56" s="60"/>
      <c r="L56" s="60"/>
    </row>
    <row r="57" spans="1:12" ht="18" customHeight="1" x14ac:dyDescent="0.35">
      <c r="A57" s="61" t="s">
        <v>50</v>
      </c>
      <c r="B57" s="61"/>
      <c r="C57" s="61"/>
      <c r="D57" s="61"/>
      <c r="E57" s="46"/>
      <c r="F57" s="47">
        <f>$I$3</f>
        <v>60000</v>
      </c>
      <c r="G57" s="48" t="s">
        <v>51</v>
      </c>
      <c r="H57" s="62">
        <f>ROUND($I$3*IFERROR(D54/I54,1),0)</f>
        <v>55714</v>
      </c>
      <c r="I57" s="62"/>
      <c r="J57" s="62"/>
      <c r="K57" s="62"/>
      <c r="L57" s="62"/>
    </row>
    <row r="58" spans="1:12" ht="18" customHeight="1" x14ac:dyDescent="0.35">
      <c r="A58" s="63" t="s">
        <v>52</v>
      </c>
      <c r="B58" s="63"/>
      <c r="C58" s="63"/>
      <c r="D58" s="63"/>
      <c r="E58" s="49" t="s">
        <v>53</v>
      </c>
      <c r="F58" s="47">
        <f>$I$4</f>
        <v>10000</v>
      </c>
      <c r="G58" s="48" t="s">
        <v>51</v>
      </c>
      <c r="H58" s="62">
        <f>ROUND($I$4*IFERROR(D54/I54,1),0)</f>
        <v>9286</v>
      </c>
      <c r="I58" s="62"/>
      <c r="J58" s="62"/>
      <c r="K58" s="62"/>
      <c r="L58" s="62"/>
    </row>
    <row r="59" spans="1:12" ht="18" customHeight="1" x14ac:dyDescent="0.35">
      <c r="A59" s="61" t="s">
        <v>54</v>
      </c>
      <c r="B59" s="61"/>
      <c r="C59" s="61"/>
      <c r="D59" s="61"/>
      <c r="E59" s="46">
        <f>H50</f>
        <v>24</v>
      </c>
      <c r="F59" s="47">
        <f>$E$53</f>
        <v>403.85392026769745</v>
      </c>
      <c r="G59" s="48" t="s">
        <v>55</v>
      </c>
      <c r="H59" s="62">
        <f>ROUND($E$53*1.2*E59,0)</f>
        <v>11631</v>
      </c>
      <c r="I59" s="62"/>
      <c r="J59" s="62"/>
      <c r="K59" s="62"/>
      <c r="L59" s="62"/>
    </row>
    <row r="60" spans="1:12" ht="18" customHeight="1" x14ac:dyDescent="0.35">
      <c r="A60" s="61" t="s">
        <v>56</v>
      </c>
      <c r="B60" s="61"/>
      <c r="C60" s="61"/>
      <c r="D60" s="61"/>
      <c r="E60" s="46">
        <f>I50</f>
        <v>0</v>
      </c>
      <c r="F60" s="47">
        <f>$E$53</f>
        <v>403.85392026769745</v>
      </c>
      <c r="G60" s="48" t="s">
        <v>57</v>
      </c>
      <c r="H60" s="62">
        <f>ROUND($E$53*1.4*E60,0)</f>
        <v>0</v>
      </c>
      <c r="I60" s="62"/>
      <c r="J60" s="62"/>
      <c r="K60" s="62"/>
      <c r="L60" s="62"/>
    </row>
    <row r="61" spans="1:12" ht="18" customHeight="1" x14ac:dyDescent="0.35">
      <c r="A61" s="61" t="s">
        <v>58</v>
      </c>
      <c r="B61" s="61"/>
      <c r="C61" s="61"/>
      <c r="D61" s="61"/>
      <c r="E61" s="46">
        <f>J50</f>
        <v>24</v>
      </c>
      <c r="F61" s="47">
        <f>$E$53</f>
        <v>403.85392026769745</v>
      </c>
      <c r="G61" s="48" t="s">
        <v>59</v>
      </c>
      <c r="H61" s="62">
        <f>ROUND($E$53*2*E61,0)</f>
        <v>19385</v>
      </c>
      <c r="I61" s="62"/>
      <c r="J61" s="62"/>
      <c r="K61" s="62"/>
      <c r="L61" s="62"/>
    </row>
    <row r="62" spans="1:12" ht="18" customHeight="1" x14ac:dyDescent="0.35">
      <c r="A62" s="61" t="s">
        <v>60</v>
      </c>
      <c r="B62" s="61"/>
      <c r="C62" s="61"/>
      <c r="D62" s="61"/>
      <c r="E62" s="49" t="s">
        <v>53</v>
      </c>
      <c r="F62" s="47"/>
      <c r="G62" s="48" t="s">
        <v>61</v>
      </c>
      <c r="H62" s="62">
        <f>$I$5</f>
        <v>2000</v>
      </c>
      <c r="I62" s="62"/>
      <c r="J62" s="62"/>
      <c r="K62" s="62"/>
      <c r="L62" s="62"/>
    </row>
    <row r="63" spans="1:12" ht="18" customHeight="1" x14ac:dyDescent="0.35">
      <c r="A63" s="61" t="s">
        <v>62</v>
      </c>
      <c r="B63" s="61"/>
      <c r="C63" s="61"/>
      <c r="D63" s="61"/>
      <c r="E63" s="49" t="s">
        <v>53</v>
      </c>
      <c r="F63" s="47"/>
      <c r="G63" s="48" t="s">
        <v>61</v>
      </c>
      <c r="H63" s="62">
        <f>$I$6</f>
        <v>10000</v>
      </c>
      <c r="I63" s="62"/>
      <c r="J63" s="62"/>
      <c r="K63" s="62"/>
      <c r="L63" s="62"/>
    </row>
    <row r="64" spans="1:12" ht="27.75" customHeight="1" x14ac:dyDescent="0.35">
      <c r="A64" s="64" t="s">
        <v>63</v>
      </c>
      <c r="B64" s="64"/>
      <c r="C64" s="64"/>
      <c r="D64" s="64"/>
      <c r="E64" s="64"/>
      <c r="F64" s="64"/>
      <c r="G64" s="64"/>
      <c r="H64" s="65">
        <f>SUM(H57:L63)</f>
        <v>108016</v>
      </c>
      <c r="I64" s="65"/>
      <c r="J64" s="65"/>
      <c r="K64" s="65"/>
      <c r="L64" s="65"/>
    </row>
  </sheetData>
  <mergeCells count="89">
    <mergeCell ref="A64:G64"/>
    <mergeCell ref="H64:L64"/>
    <mergeCell ref="A61:D61"/>
    <mergeCell ref="H61:L61"/>
    <mergeCell ref="A62:D62"/>
    <mergeCell ref="H62:L62"/>
    <mergeCell ref="A63:D63"/>
    <mergeCell ref="H63:L63"/>
    <mergeCell ref="A58:D58"/>
    <mergeCell ref="H58:L58"/>
    <mergeCell ref="A59:D59"/>
    <mergeCell ref="H59:L59"/>
    <mergeCell ref="A60:D60"/>
    <mergeCell ref="H60:L60"/>
    <mergeCell ref="E55:I55"/>
    <mergeCell ref="A56:D56"/>
    <mergeCell ref="H56:L56"/>
    <mergeCell ref="A57:D57"/>
    <mergeCell ref="H57:L57"/>
    <mergeCell ref="A52:L52"/>
    <mergeCell ref="E53:L53"/>
    <mergeCell ref="A54:C54"/>
    <mergeCell ref="E54:H54"/>
    <mergeCell ref="J54:K54"/>
    <mergeCell ref="A48:B48"/>
    <mergeCell ref="E48:F48"/>
    <mergeCell ref="A49:B49"/>
    <mergeCell ref="E49:F49"/>
    <mergeCell ref="A50:B50"/>
    <mergeCell ref="E50:F50"/>
    <mergeCell ref="A45:B45"/>
    <mergeCell ref="E45:F45"/>
    <mergeCell ref="A46:B46"/>
    <mergeCell ref="E46:F46"/>
    <mergeCell ref="A47:B47"/>
    <mergeCell ref="E47:F47"/>
    <mergeCell ref="A41:E41"/>
    <mergeCell ref="F41:L41"/>
    <mergeCell ref="A43:L43"/>
    <mergeCell ref="A44:B44"/>
    <mergeCell ref="E44:F44"/>
    <mergeCell ref="H35:L35"/>
    <mergeCell ref="H36:L36"/>
    <mergeCell ref="H37:L37"/>
    <mergeCell ref="H38:L38"/>
    <mergeCell ref="A40:L40"/>
    <mergeCell ref="H30:L30"/>
    <mergeCell ref="H31:L31"/>
    <mergeCell ref="H32:L32"/>
    <mergeCell ref="H33:L33"/>
    <mergeCell ref="H34:L34"/>
    <mergeCell ref="H25:L25"/>
    <mergeCell ref="H26:L26"/>
    <mergeCell ref="H27:L27"/>
    <mergeCell ref="H28:L28"/>
    <mergeCell ref="H29:L29"/>
    <mergeCell ref="H20:L20"/>
    <mergeCell ref="H21:L21"/>
    <mergeCell ref="H22:L22"/>
    <mergeCell ref="H23:L23"/>
    <mergeCell ref="H24:L24"/>
    <mergeCell ref="H15:L15"/>
    <mergeCell ref="H16:L16"/>
    <mergeCell ref="H17:L17"/>
    <mergeCell ref="H18:L18"/>
    <mergeCell ref="H19:L19"/>
    <mergeCell ref="H10:L10"/>
    <mergeCell ref="H11:L11"/>
    <mergeCell ref="H12:L12"/>
    <mergeCell ref="H13:L13"/>
    <mergeCell ref="H14:L14"/>
    <mergeCell ref="G6:H6"/>
    <mergeCell ref="I6:L6"/>
    <mergeCell ref="H7:L7"/>
    <mergeCell ref="H8:L8"/>
    <mergeCell ref="H9:L9"/>
    <mergeCell ref="B4:E4"/>
    <mergeCell ref="G4:H4"/>
    <mergeCell ref="I4:L4"/>
    <mergeCell ref="B5:E5"/>
    <mergeCell ref="G5:H5"/>
    <mergeCell ref="I5:L5"/>
    <mergeCell ref="A1:L1"/>
    <mergeCell ref="B2:E2"/>
    <mergeCell ref="G2:H2"/>
    <mergeCell ref="I2:L2"/>
    <mergeCell ref="B3:E3"/>
    <mergeCell ref="G3:H3"/>
    <mergeCell ref="I3:L3"/>
  </mergeCells>
  <conditionalFormatting sqref="A8:L38">
    <cfRule type="expression" dxfId="1" priority="2">
      <formula>OR($A8="",$A8&gt;$B$5,$A8&lt;$B$4)</formula>
    </cfRule>
  </conditionalFormatting>
  <conditionalFormatting sqref="E8:F38">
    <cfRule type="expression" dxfId="0" priority="3">
      <formula>OR($D8="A",$D8="C",$D8="M")</formula>
    </cfRule>
  </conditionalFormatting>
  <dataValidations count="1">
    <dataValidation type="list" allowBlank="1" showInputMessage="1" showErrorMessage="1" errorTitle="Valeur invalide" error="Veuillez choisir OUI ou NON" promptTitle="Dim. / Fériés ?" prompt="Choisissez OUI si c'est un dimanche ou jour férié" sqref="G8:G38" xr:uid="{00000000-0002-0000-00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Remplir les cases en jaune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Passama Pissang</cp:lastModifiedBy>
  <cp:revision>0</cp:revision>
  <dcterms:created xsi:type="dcterms:W3CDTF">2026-03-15T00:09:00Z</dcterms:created>
  <dcterms:modified xsi:type="dcterms:W3CDTF">2026-03-15T01:52:24Z</dcterms:modified>
  <dc:language>en-US</dc:language>
</cp:coreProperties>
</file>