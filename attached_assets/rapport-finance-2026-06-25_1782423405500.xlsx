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uverture" state="visible" r:id="rId4"/>
    <sheet sheetId="2" name="📊 Résumé Exécutif" state="visible" r:id="rId5"/>
    <sheet sheetId="3" name="📅 Évolution mensuelle" state="visible" r:id="rId6"/>
    <sheet sheetId="4" name="🏆 Top Clients" state="visible" r:id="rId7"/>
    <sheet sheetId="5" name="📊 Par statut" state="visible" r:id="rId8"/>
    <sheet sheetId="6" name="⚠️ Impayés" state="visible" r:id="rId9"/>
    <sheet sheetId="7" name="📝 Notes &amp; Méthodologie" state="visible" r:id="rId10"/>
  </sheets>
  <definedNames>
    <definedName name="_xlnm.Print_Titles" localSheetId="1">'📊 Résumé Exécutif'!$4:$4</definedName>
    <definedName name="_xlnm.Print_Titles" localSheetId="2">'📅 Évolution mensuelle'!$3:$3</definedName>
    <definedName name="_xlnm.Print_Titles" localSheetId="3">'🏆 Top Clients'!$3:$3</definedName>
    <definedName name="_xlnm.Print_Titles" localSheetId="4">'📊 Par statut'!$3:$3</definedName>
    <definedName name="_xlnm.Print_Titles" localSheetId="5">'⚠️ Impayés'!$3:$3</definedName>
  </definedNames>
  <calcPr calcId="171027"/>
</workbook>
</file>

<file path=xl/sharedStrings.xml><?xml version="1.0" encoding="utf-8"?>
<sst xmlns="http://schemas.openxmlformats.org/spreadsheetml/2006/main" count="151" uniqueCount="107">
  <si>
    <t>Hissado Consulting</t>
  </si>
  <si>
    <t>FINANCE &amp; RECOUVREMENT</t>
  </si>
  <si>
    <t>Rapport Finance</t>
  </si>
  <si>
    <t>Période d'analyse : 01 juin 2026  –  30 juin 2026</t>
  </si>
  <si>
    <t>Rapport généré le 25 juin 2026</t>
  </si>
  <si>
    <t>Généré par : Gaméasù Platform</t>
  </si>
  <si>
    <t>Paramètre</t>
  </si>
  <si>
    <t>Valeur</t>
  </si>
  <si>
    <t>Organisation</t>
  </si>
  <si>
    <t>Titre du rapport</t>
  </si>
  <si>
    <t>Catégorie</t>
  </si>
  <si>
    <t>Finance &amp; Recouvrement</t>
  </si>
  <si>
    <t>Période début</t>
  </si>
  <si>
    <t>01 juin 2026</t>
  </si>
  <si>
    <t>Période fin</t>
  </si>
  <si>
    <t>30 juin 2026</t>
  </si>
  <si>
    <t>Date de génération</t>
  </si>
  <si>
    <t>25/06/2026</t>
  </si>
  <si>
    <t>Devise</t>
  </si>
  <si>
    <t>FCFA (XOF)</t>
  </si>
  <si>
    <t>Version</t>
  </si>
  <si>
    <t>1.0</t>
  </si>
  <si>
    <t>Plateforme</t>
  </si>
  <si>
    <t>Gaméasù Management Platform</t>
  </si>
  <si>
    <t>⚠  DOCUMENT CONFIDENTIEL</t>
  </si>
  <si>
    <t>Ce document contient des informations financières confidentielles réservées exclusivement à l'usage de la Direction, du Conseil d'Administration et des parties prenantes autorisées. Toute diffusion non autorisée est strictement interdite.</t>
  </si>
  <si>
    <t>Rapport Finance — Résumé Exécutif</t>
  </si>
  <si>
    <t>Hissado Consulting  ·  01/06/2026 – 30/06/2026</t>
  </si>
  <si>
    <t>Indicateur</t>
  </si>
  <si>
    <t>Période N-1</t>
  </si>
  <si>
    <t>Variation</t>
  </si>
  <si>
    <t>Var. %</t>
  </si>
  <si>
    <t>Statut</t>
  </si>
  <si>
    <t>FACTURATION</t>
  </si>
  <si>
    <t>Chiffre d'affaires facturé</t>
  </si>
  <si>
    <t>—</t>
  </si>
  <si>
    <t>◼ N/A</t>
  </si>
  <si>
    <t>Encaissements reçus</t>
  </si>
  <si>
    <t>Encours total</t>
  </si>
  <si>
    <t>Encours en retard</t>
  </si>
  <si>
    <t>Factures émises</t>
  </si>
  <si>
    <t>Factures soldées</t>
  </si>
  <si>
    <t>RECOUVREMENT</t>
  </si>
  <si>
    <t>Taux de recouvrement</t>
  </si>
  <si>
    <t>Évolution mensuelle — Facturation</t>
  </si>
  <si>
    <t>Mois</t>
  </si>
  <si>
    <t>Facturé (FCFA)</t>
  </si>
  <si>
    <t>Encaissé (FCFA)</t>
  </si>
  <si>
    <t>juil. 25</t>
  </si>
  <si>
    <t>août 25</t>
  </si>
  <si>
    <t>sept. 25</t>
  </si>
  <si>
    <t>oct. 25</t>
  </si>
  <si>
    <t>nov. 25</t>
  </si>
  <si>
    <t>déc. 25</t>
  </si>
  <si>
    <t>janv. 26</t>
  </si>
  <si>
    <t>févr. 26</t>
  </si>
  <si>
    <t>mars 26</t>
  </si>
  <si>
    <t>avr. 26</t>
  </si>
  <si>
    <t>mai 26</t>
  </si>
  <si>
    <t>juin 26</t>
  </si>
  <si>
    <t>TOTAL</t>
  </si>
  <si>
    <t>Top Clients — Facturation</t>
  </si>
  <si>
    <t>Client</t>
  </si>
  <si>
    <t>Nb factures</t>
  </si>
  <si>
    <t>Montant facturé</t>
  </si>
  <si>
    <t>Groupe Bolloré Africa — Togo</t>
  </si>
  <si>
    <t>GTA — Groupama Togo Assurances</t>
  </si>
  <si>
    <t>BSIC Togo — Banque Sahélo-Saharienne</t>
  </si>
  <si>
    <t>ORABANK Togo</t>
  </si>
  <si>
    <t>Ecobank Togo — Direction Générale</t>
  </si>
  <si>
    <t>Répartition des factures par statut</t>
  </si>
  <si>
    <t>Montant (FCFA)</t>
  </si>
  <si>
    <t>Payée</t>
  </si>
  <si>
    <t>Partiellement payée</t>
  </si>
  <si>
    <t>En retard</t>
  </si>
  <si>
    <t>pending</t>
  </si>
  <si>
    <t>Factures en retard de paiement</t>
  </si>
  <si>
    <t>Référence</t>
  </si>
  <si>
    <t>Échéance</t>
  </si>
  <si>
    <t>Restant dû</t>
  </si>
  <si>
    <t>FAC-HC-2026-003</t>
  </si>
  <si>
    <t>2026-05-31</t>
  </si>
  <si>
    <t>HC-FAC-2026-0005</t>
  </si>
  <si>
    <t>2026-06-19</t>
  </si>
  <si>
    <t>HC-FAC-2026-0002</t>
  </si>
  <si>
    <t>2026-03-30</t>
  </si>
  <si>
    <t>HC-FAC-2026-0003</t>
  </si>
  <si>
    <t>2026-04-14</t>
  </si>
  <si>
    <t>Notes, Méthodologie &amp; Hypothèses</t>
  </si>
  <si>
    <t>1. Périmètre de l'analyse</t>
  </si>
  <si>
    <t>▸</t>
  </si>
  <si>
    <t>Données issues des factures et encaissements sur la période du 01/06/2026 au 30/06/2026.</t>
  </si>
  <si>
    <t>Encours = montant facturé non encore encaissé.</t>
  </si>
  <si>
    <t>Encours en retard = factures dont la date d'échéance est dépassée.</t>
  </si>
  <si>
    <t>2. Taux de recouvrement</t>
  </si>
  <si>
    <t>Taux de recouvrement = Encaissements reçus / Chiffre d'affaires facturé × 100.</t>
  </si>
  <si>
    <t>Un taux &gt; 90 % est considéré satisfaisant.</t>
  </si>
  <si>
    <t>Un taux &lt; 70 % nécessite une action corrective immédiate.</t>
  </si>
  <si>
    <t>3. Devise</t>
  </si>
  <si>
    <t>Tous les montants sont exprimés en FCFA (Franc CFA de l'Afrique de l'Ouest — XOF).</t>
  </si>
  <si>
    <t>Taux de change : 1 EUR ≈ 655,957 FCFA (fixe).</t>
  </si>
  <si>
    <t>Informations d'audit</t>
  </si>
  <si>
    <t>Organisation : Hissado Consulting</t>
  </si>
  <si>
    <t>Rapport : Rapport Finance</t>
  </si>
  <si>
    <t>Période : 01/06/2026 – 30/06/2026</t>
  </si>
  <si>
    <t>Date de génération : 25/06/2026 21:33:50</t>
  </si>
  <si>
    <t>Devise : FCFA (XOF)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</si>
</sst>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 &quot;FCFA&quot;"/>
    <numFmt numFmtId="165" formatCode="0.0&quot;%&quot;"/>
  </numFmts>
  <fonts count="23" x14ac:knownFonts="1">
    <font>
      <color theme="1"/>
      <family val="2"/>
      <scheme val="minor"/>
      <sz val="11"/>
      <name val="Calibri"/>
    </font>
    <font>
      <b/>
      <color rgb="FFF97316"/>
      <sz val="18"/>
      <name val="Calibri"/>
    </font>
    <font>
      <b/>
      <color rgb="FF94A3B8"/>
      <sz val="9"/>
      <name val="Calibri"/>
    </font>
    <font>
      <b/>
      <color rgb="FFFFFFFF"/>
      <sz val="28"/>
      <name val="Calibri"/>
    </font>
    <font>
      <color rgb="FFE2E8F0"/>
      <sz val="12"/>
      <name val="Calibri"/>
    </font>
    <font>
      <color rgb="FF94A3B8"/>
      <sz val="10"/>
      <name val="Calibri"/>
    </font>
    <font>
      <b/>
      <color rgb="FF475569"/>
      <sz val="9"/>
      <name val="Calibri"/>
    </font>
    <font>
      <color rgb="FF334155"/>
      <sz val="10"/>
      <name val="Calibri"/>
    </font>
    <font>
      <b/>
      <color rgb="FF1E293B"/>
      <sz val="10"/>
      <name val="Calibri"/>
    </font>
    <font>
      <b/>
      <color rgb="FFF97316"/>
      <sz val="11"/>
      <name val="Calibri"/>
    </font>
    <font>
      <i/>
      <color rgb="FF334155"/>
      <sz val="9"/>
      <name val="Calibri"/>
    </font>
    <font>
      <b/>
      <color rgb="FFFFFFFF"/>
      <sz val="16"/>
      <name val="Calibri"/>
    </font>
    <font>
      <b/>
      <color rgb="FFFFFFFF"/>
      <sz val="10"/>
      <name val="Calibri"/>
    </font>
    <font>
      <b/>
      <color rgb="FFF97316"/>
      <sz val="9"/>
      <name val="Calibri"/>
    </font>
    <font>
      <color rgb="FF1E293B"/>
      <sz val="11"/>
      <name val="Calibri"/>
    </font>
    <font>
      <b/>
      <color rgb="FF1E293B"/>
      <sz val="11"/>
      <name val="Calibri"/>
    </font>
    <font>
      <sz val="10"/>
      <name val="Calibri"/>
    </font>
    <font>
      <b/>
      <color rgb="FFFFFFFF"/>
      <sz val="14"/>
      <name val="Calibri"/>
    </font>
    <font>
      <color rgb="FF94A3B8"/>
      <sz val="9"/>
      <name val="Calibri"/>
    </font>
    <font>
      <color rgb="FF1E293B"/>
      <sz val="10"/>
      <name val="Calibri"/>
    </font>
    <font>
      <color rgb="FFF97316"/>
      <sz val="10"/>
      <name val="Calibri"/>
    </font>
    <font>
      <b/>
      <color rgb="FF475569"/>
      <sz val="10"/>
      <name val="Calibri"/>
    </font>
    <font>
      <i/>
      <color rgb="FF94A3B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9731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97316"/>
      </left>
      <right style="thin">
        <color rgb="FFF97316"/>
      </right>
      <top style="thin">
        <color rgb="FFF97316"/>
      </top>
      <bottom style="thin">
        <color rgb="FFF97316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6" fillId="0" borderId="1" xfId="0" applyFont="1" applyBorder="1" applyAlignment="1">
      <alignment horizontal="left" indent="1"/>
    </xf>
    <xf numFmtId="0" fontId="7" fillId="5" borderId="1" xfId="0" applyFont="1" applyFill="1" applyBorder="1" applyAlignment="1">
      <alignment horizontal="left" indent="1"/>
    </xf>
    <xf numFmtId="0" fontId="8" fillId="5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left" indent="1"/>
    </xf>
    <xf numFmtId="0" fontId="8" fillId="4" borderId="1" xfId="0" applyFont="1" applyFill="1" applyBorder="1" applyAlignment="1">
      <alignment horizontal="left" indent="1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2" fillId="7" borderId="3" xfId="0" applyFont="1" applyFill="1" applyBorder="1" applyAlignment="1">
      <alignment horizontal="left" vertical="center" indent="1"/>
    </xf>
    <xf numFmtId="0" fontId="12" fillId="7" borderId="3" xfId="0" applyFont="1" applyFill="1" applyBorder="1" applyAlignment="1">
      <alignment horizontal="center" vertical="center"/>
    </xf>
    <xf numFmtId="0" fontId="0" fillId="8" borderId="0" xfId="0" applyFill="1"/>
    <xf numFmtId="0" fontId="13" fillId="8" borderId="0" xfId="0" applyFont="1" applyFill="1" applyAlignment="1">
      <alignment horizontal="left" vertical="center" indent="1"/>
    </xf>
    <xf numFmtId="0" fontId="14" fillId="4" borderId="1" xfId="0" applyFont="1" applyFill="1" applyBorder="1" applyAlignment="1">
      <alignment horizontal="left" vertical="center" indent="1"/>
    </xf>
    <xf numFmtId="164" fontId="1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0" fillId="5" borderId="0" xfId="0" applyFill="1"/>
    <xf numFmtId="0" fontId="14" fillId="5" borderId="1" xfId="0" applyFont="1" applyFill="1" applyBorder="1" applyAlignment="1">
      <alignment horizontal="left" vertical="center" indent="1"/>
    </xf>
    <xf numFmtId="164" fontId="1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3" fontId="1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3" fontId="15" fillId="5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165" fontId="1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2" fillId="7" borderId="3" xfId="0" applyFont="1" applyFill="1" applyBorder="1" applyAlignment="1">
      <alignment horizontal="right" vertical="center" indent="1"/>
    </xf>
    <xf numFmtId="0" fontId="19" fillId="5" borderId="1" xfId="0" applyFont="1" applyFill="1" applyBorder="1" applyAlignment="1">
      <alignment horizontal="left" vertical="center" indent="1"/>
    </xf>
    <xf numFmtId="164" fontId="19" fillId="5" borderId="1" xfId="0" applyNumberFormat="1" applyFont="1" applyFill="1" applyBorder="1" applyAlignment="1">
      <alignment horizontal="right" vertical="center" indent="1"/>
    </xf>
    <xf numFmtId="0" fontId="19" fillId="4" borderId="1" xfId="0" applyFont="1" applyFill="1" applyBorder="1" applyAlignment="1">
      <alignment horizontal="left" vertical="center" indent="1"/>
    </xf>
    <xf numFmtId="164" fontId="19" fillId="4" borderId="1" xfId="0" applyNumberFormat="1" applyFont="1" applyFill="1" applyBorder="1" applyAlignment="1">
      <alignment horizontal="right" vertical="center" indent="1"/>
    </xf>
    <xf numFmtId="0" fontId="12" fillId="8" borderId="0" xfId="0" applyFont="1" applyFill="1" applyAlignment="1">
      <alignment horizontal="left" vertical="center" indent="1"/>
    </xf>
    <xf numFmtId="164" fontId="12" fillId="8" borderId="0" xfId="0" applyNumberFormat="1" applyFont="1" applyFill="1" applyAlignment="1">
      <alignment horizontal="right" vertical="center"/>
    </xf>
    <xf numFmtId="3" fontId="19" fillId="5" borderId="1" xfId="0" applyNumberFormat="1" applyFont="1" applyFill="1" applyBorder="1" applyAlignment="1">
      <alignment horizontal="right" vertical="center" indent="1"/>
    </xf>
    <xf numFmtId="3" fontId="19" fillId="4" borderId="1" xfId="0" applyNumberFormat="1" applyFont="1" applyFill="1" applyBorder="1" applyAlignment="1">
      <alignment horizontal="right" vertical="center" indent="1"/>
    </xf>
    <xf numFmtId="3" fontId="12" fillId="8" borderId="0" xfId="0" applyNumberFormat="1" applyFont="1" applyFill="1" applyAlignment="1">
      <alignment horizontal="right" vertical="center"/>
    </xf>
    <xf numFmtId="0" fontId="9" fillId="6" borderId="1" xfId="0" applyFont="1" applyFill="1" applyBorder="1" applyAlignment="1">
      <alignment horizontal="left" vertical="center" indent="1"/>
    </xf>
    <xf numFmtId="0" fontId="20" fillId="0" borderId="0" xfId="0" applyFont="1"/>
    <xf numFmtId="0" fontId="7" fillId="0" borderId="0" xfId="0" applyFont="1" applyAlignment="1">
      <alignment vertical="top" wrapText="1"/>
    </xf>
    <xf numFmtId="0" fontId="21" fillId="9" borderId="0" xfId="0" applyFont="1" applyFill="1"/>
    <xf numFmtId="0" fontId="22" fillId="0" borderId="0" xfId="0" applyFont="1" applyAlignment="1">
      <alignment horizontal="left" vertical="center" indent="1"/>
    </xf>
  </cellXfs>
  <cellStyles count="1">
    <cellStyle name="Normal" xfId="0" builtinId="0"/>
  </cellStyles>
  <dxfs count="2">
    <dxf>
      <font>
        <b/>
        <color rgb="FF16A34A"/>
      </font>
      <fill>
        <patternFill patternType="solid">
          <fgColor rgb="FFF0FDF4"/>
        </patternFill>
      </fill>
    </dxf>
    <dxf>
      <font>
        <b/>
        <color rgb="FFDC2626"/>
      </font>
      <fill>
        <patternFill patternType="solid">
          <fgColor rgb="FFFE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  <pageSetUpPr fitToPage="1"/>
  </sheetPr>
  <dimension ref="A1:E35"/>
  <sheetFormatPr defaultRowHeight="15" outlineLevelRow="0" outlineLevelCol="0" x14ac:dyDescent="55"/>
  <cols>
    <col min="1" max="1" width="4" customWidth="1"/>
    <col min="2" max="3" width="32" customWidth="1"/>
    <col min="4" max="4" width="28" customWidth="1"/>
    <col min="5" max="5" width="4" customWidth="1"/>
  </cols>
  <sheetData>
    <row r="1" ht="20" customHeight="1" spans="1:5" x14ac:dyDescent="0.25">
      <c r="A1" s="1"/>
      <c r="B1" s="1"/>
      <c r="C1" s="1"/>
      <c r="D1" s="1"/>
      <c r="E1" s="1"/>
    </row>
    <row r="2" ht="26" customHeight="1" spans="1:5" x14ac:dyDescent="0.25">
      <c r="A2" s="1"/>
      <c r="B2" s="2" t="s">
        <v>0</v>
      </c>
      <c r="C2" s="1"/>
      <c r="D2" s="1"/>
      <c r="E2" s="1"/>
    </row>
    <row r="3" ht="20" customHeight="1" spans="1:5" x14ac:dyDescent="0.25">
      <c r="A3" s="1"/>
      <c r="B3" s="1"/>
      <c r="C3" s="1"/>
      <c r="D3" s="1"/>
      <c r="E3" s="1"/>
    </row>
    <row r="4" ht="16" customHeight="1" spans="1:5" x14ac:dyDescent="0.25">
      <c r="A4" s="1"/>
      <c r="B4" s="3" t="s">
        <v>1</v>
      </c>
      <c r="C4" s="1"/>
      <c r="D4" s="1"/>
      <c r="E4" s="1"/>
    </row>
    <row r="5" ht="36" customHeight="1" spans="1:5" x14ac:dyDescent="0.25">
      <c r="A5" s="1"/>
      <c r="B5" s="4" t="s">
        <v>2</v>
      </c>
      <c r="C5" s="1"/>
      <c r="D5" s="1"/>
      <c r="E5" s="1"/>
    </row>
    <row r="6" ht="20" customHeight="1" spans="1:5" x14ac:dyDescent="0.25">
      <c r="A6" s="1"/>
      <c r="B6" s="1"/>
      <c r="C6" s="1"/>
      <c r="D6" s="1"/>
      <c r="E6" s="1"/>
    </row>
    <row r="7" ht="20" customHeight="1" spans="1:5" x14ac:dyDescent="0.25">
      <c r="A7" s="1"/>
      <c r="B7" s="1"/>
      <c r="C7" s="1"/>
      <c r="D7" s="1"/>
      <c r="E7" s="1"/>
    </row>
    <row r="8" ht="20" customHeight="1" spans="1:5" x14ac:dyDescent="0.25">
      <c r="A8" s="1"/>
      <c r="B8" s="1"/>
      <c r="C8" s="1"/>
      <c r="D8" s="1"/>
      <c r="E8" s="1"/>
    </row>
    <row r="9" ht="22" customHeight="1" spans="1:5" x14ac:dyDescent="0.25">
      <c r="A9" s="1"/>
      <c r="B9" s="5" t="s">
        <v>3</v>
      </c>
      <c r="C9" s="1"/>
      <c r="D9" s="1"/>
      <c r="E9" s="1"/>
    </row>
    <row r="10" ht="20" customHeight="1" spans="1:5" x14ac:dyDescent="0.25">
      <c r="A10" s="1"/>
      <c r="B10" s="6" t="s">
        <v>4</v>
      </c>
      <c r="C10" s="1"/>
      <c r="D10" s="1"/>
      <c r="E10" s="1"/>
    </row>
    <row r="11" ht="20" customHeight="1" spans="1:5" x14ac:dyDescent="0.25">
      <c r="A11" s="1"/>
      <c r="B11" s="6" t="s">
        <v>5</v>
      </c>
      <c r="C11" s="1"/>
      <c r="D11" s="1"/>
      <c r="E11" s="1"/>
    </row>
    <row r="12" ht="20" customHeight="1" spans="1:5" x14ac:dyDescent="0.25">
      <c r="A12" s="1"/>
      <c r="B12" s="1"/>
      <c r="C12" s="1"/>
      <c r="D12" s="1"/>
      <c r="E12" s="1"/>
    </row>
    <row r="13" ht="4" customHeight="1" spans="1:5" x14ac:dyDescent="0.25">
      <c r="A13" s="1"/>
      <c r="B13" s="7"/>
      <c r="C13" s="7"/>
      <c r="D13" s="7"/>
      <c r="E13" s="1"/>
    </row>
    <row r="14" ht="20" customHeight="1" spans="1:5" x14ac:dyDescent="0.25">
      <c r="A14" s="1"/>
      <c r="B14" s="1"/>
      <c r="C14" s="1"/>
      <c r="D14" s="1"/>
      <c r="E14" s="1"/>
    </row>
    <row r="15" ht="20" customHeight="1" spans="1:5" x14ac:dyDescent="0.25">
      <c r="A15" s="8"/>
      <c r="B15" s="8"/>
      <c r="C15" s="8"/>
      <c r="D15" s="8"/>
      <c r="E15" s="8"/>
    </row>
    <row r="16" ht="20" customHeight="1" spans="1:5" x14ac:dyDescent="0.25">
      <c r="A16" s="8"/>
      <c r="B16" s="9" t="s">
        <v>6</v>
      </c>
      <c r="C16" s="9" t="s">
        <v>7</v>
      </c>
      <c r="D16" s="8"/>
      <c r="E16" s="8"/>
    </row>
    <row r="17" ht="18" customHeight="1" spans="1:5" x14ac:dyDescent="0.25">
      <c r="A17" s="8"/>
      <c r="B17" s="10" t="s">
        <v>8</v>
      </c>
      <c r="C17" s="11" t="s">
        <v>0</v>
      </c>
      <c r="D17" s="8"/>
      <c r="E17" s="8"/>
    </row>
    <row r="18" ht="18" customHeight="1" spans="1:5" x14ac:dyDescent="0.25">
      <c r="A18" s="8"/>
      <c r="B18" s="12" t="s">
        <v>9</v>
      </c>
      <c r="C18" s="13" t="s">
        <v>2</v>
      </c>
      <c r="D18" s="8"/>
      <c r="E18" s="8"/>
    </row>
    <row r="19" ht="18" customHeight="1" spans="1:5" x14ac:dyDescent="0.25">
      <c r="A19" s="8"/>
      <c r="B19" s="10" t="s">
        <v>10</v>
      </c>
      <c r="C19" s="11" t="s">
        <v>11</v>
      </c>
      <c r="D19" s="8"/>
      <c r="E19" s="8"/>
    </row>
    <row r="20" ht="18" customHeight="1" spans="1:5" x14ac:dyDescent="0.25">
      <c r="A20" s="8"/>
      <c r="B20" s="12" t="s">
        <v>12</v>
      </c>
      <c r="C20" s="13" t="s">
        <v>13</v>
      </c>
      <c r="D20" s="8"/>
      <c r="E20" s="8"/>
    </row>
    <row r="21" ht="18" customHeight="1" spans="1:5" x14ac:dyDescent="0.25">
      <c r="A21" s="8"/>
      <c r="B21" s="10" t="s">
        <v>14</v>
      </c>
      <c r="C21" s="11" t="s">
        <v>15</v>
      </c>
      <c r="D21" s="8"/>
      <c r="E21" s="8"/>
    </row>
    <row r="22" ht="18" customHeight="1" spans="1:5" x14ac:dyDescent="0.25">
      <c r="A22" s="8"/>
      <c r="B22" s="12" t="s">
        <v>16</v>
      </c>
      <c r="C22" s="13" t="s">
        <v>17</v>
      </c>
      <c r="D22" s="8"/>
      <c r="E22" s="8"/>
    </row>
    <row r="23" ht="18" customHeight="1" spans="1:5" x14ac:dyDescent="0.25">
      <c r="A23" s="8"/>
      <c r="B23" s="10" t="s">
        <v>18</v>
      </c>
      <c r="C23" s="11" t="s">
        <v>19</v>
      </c>
      <c r="D23" s="8"/>
      <c r="E23" s="8"/>
    </row>
    <row r="24" ht="18" customHeight="1" spans="1:5" x14ac:dyDescent="0.25">
      <c r="A24" s="8"/>
      <c r="B24" s="12" t="s">
        <v>20</v>
      </c>
      <c r="C24" s="13" t="s">
        <v>21</v>
      </c>
      <c r="D24" s="8"/>
      <c r="E24" s="8"/>
    </row>
    <row r="25" ht="18" customHeight="1" spans="1:5" x14ac:dyDescent="0.25">
      <c r="A25" s="8"/>
      <c r="B25" s="10" t="s">
        <v>22</v>
      </c>
      <c r="C25" s="11" t="s">
        <v>23</v>
      </c>
      <c r="D25" s="8"/>
      <c r="E25" s="8"/>
    </row>
    <row r="26" ht="20" customHeight="1" spans="1:5" x14ac:dyDescent="0.25">
      <c r="A26" s="8"/>
      <c r="B26" s="8"/>
      <c r="C26" s="8"/>
      <c r="D26" s="8"/>
      <c r="E26" s="8"/>
    </row>
    <row r="27" ht="20" customHeight="1" spans="1:5" x14ac:dyDescent="0.25">
      <c r="A27" s="8"/>
      <c r="B27" s="8"/>
      <c r="C27" s="8"/>
      <c r="D27" s="8"/>
      <c r="E27" s="8"/>
    </row>
    <row r="28" ht="20" customHeight="1" spans="1:5" x14ac:dyDescent="0.25">
      <c r="A28" s="8"/>
      <c r="B28" s="8"/>
      <c r="C28" s="8"/>
      <c r="D28" s="8"/>
      <c r="E28" s="8"/>
    </row>
    <row r="29" ht="20" customHeight="1" spans="1:5" x14ac:dyDescent="0.25">
      <c r="A29" s="8"/>
      <c r="B29" s="8"/>
      <c r="C29" s="8"/>
      <c r="D29" s="8"/>
      <c r="E29" s="8"/>
    </row>
    <row r="30" ht="18" customHeight="1" spans="1:5" x14ac:dyDescent="0.25">
      <c r="A30" s="8"/>
      <c r="B30" s="14" t="s">
        <v>24</v>
      </c>
      <c r="C30" s="14"/>
      <c r="D30" s="14"/>
      <c r="E30" s="8"/>
    </row>
    <row r="31" ht="18" customHeight="1" spans="1:5" x14ac:dyDescent="0.25">
      <c r="A31" s="8"/>
      <c r="B31" s="15" t="s">
        <v>25</v>
      </c>
      <c r="C31" s="15"/>
      <c r="D31" s="15"/>
      <c r="E31" s="8"/>
    </row>
    <row r="32" ht="18" customHeight="1" spans="1:5" x14ac:dyDescent="0.25">
      <c r="A32" s="8"/>
      <c r="B32" s="15"/>
      <c r="C32" s="15"/>
      <c r="D32" s="15"/>
      <c r="E32" s="8"/>
    </row>
    <row r="33" ht="18" customHeight="1" spans="1:5" x14ac:dyDescent="0.25">
      <c r="A33" s="8"/>
      <c r="B33" s="15"/>
      <c r="C33" s="15"/>
      <c r="D33" s="15"/>
      <c r="E33" s="8"/>
    </row>
    <row r="34" ht="20" customHeight="1" spans="1:5" x14ac:dyDescent="0.25">
      <c r="A34" s="8"/>
      <c r="B34" s="8"/>
      <c r="C34" s="8"/>
      <c r="D34" s="8"/>
      <c r="E34" s="8"/>
    </row>
    <row r="35" ht="20" customHeight="1" spans="1:5" x14ac:dyDescent="0.25">
      <c r="A35" s="8"/>
      <c r="B35" s="8"/>
      <c r="C35" s="8"/>
      <c r="D35" s="8"/>
      <c r="E35" s="8"/>
    </row>
  </sheetData>
  <mergeCells count="18">
    <mergeCell ref="B2:D2"/>
    <mergeCell ref="B4:D4"/>
    <mergeCell ref="B5:D5"/>
    <mergeCell ref="B9:D9"/>
    <mergeCell ref="B10:D10"/>
    <mergeCell ref="B11:D11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B30:D30"/>
    <mergeCell ref="B31:D33"/>
  </mergeCells>
  <pageSetup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  <pageSetUpPr fitToPage="1"/>
  </sheetPr>
  <dimension ref="A1:H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30" customWidth="1"/>
    <col min="3" max="4" width="20" customWidth="1"/>
    <col min="5" max="7" width="14" customWidth="1"/>
    <col min="8" max="8" width="2" customWidth="1"/>
  </cols>
  <sheetData>
    <row r="1" ht="32" customHeight="1" spans="1:8" x14ac:dyDescent="0.25">
      <c r="A1" s="1"/>
      <c r="B1" s="16" t="s">
        <v>26</v>
      </c>
      <c r="C1" s="16"/>
      <c r="D1" s="16"/>
      <c r="E1" s="16"/>
      <c r="F1" s="16"/>
      <c r="G1" s="16"/>
      <c r="H1" s="1"/>
    </row>
    <row r="2" ht="18" customHeight="1" spans="1:8" x14ac:dyDescent="0.25">
      <c r="A2" s="1"/>
      <c r="B2" s="17" t="s">
        <v>27</v>
      </c>
      <c r="C2" s="17"/>
      <c r="D2" s="17"/>
      <c r="E2" s="17"/>
      <c r="F2" s="17"/>
      <c r="G2" s="17"/>
      <c r="H2" s="1"/>
    </row>
    <row r="3" ht="18" customHeight="1" spans="1:8" x14ac:dyDescent="0.25">
      <c r="A3" s="1"/>
      <c r="B3" s="1"/>
      <c r="C3" s="1"/>
      <c r="D3" s="1"/>
      <c r="E3" s="1"/>
      <c r="F3" s="1"/>
      <c r="G3" s="1"/>
      <c r="H3" s="1"/>
    </row>
    <row r="4" ht="24" customHeight="1" spans="1:8" x14ac:dyDescent="0.25">
      <c r="A4" s="1"/>
      <c r="B4" s="18" t="s">
        <v>28</v>
      </c>
      <c r="C4" s="19" t="s">
        <v>7</v>
      </c>
      <c r="D4" s="19" t="s">
        <v>29</v>
      </c>
      <c r="E4" s="19" t="s">
        <v>30</v>
      </c>
      <c r="F4" s="19" t="s">
        <v>31</v>
      </c>
      <c r="G4" s="19" t="s">
        <v>32</v>
      </c>
      <c r="H4" s="1"/>
    </row>
    <row r="5" ht="22" customHeight="1" spans="1:8" x14ac:dyDescent="0.25">
      <c r="A5" s="20"/>
      <c r="B5" s="21" t="s">
        <v>33</v>
      </c>
      <c r="C5" s="21"/>
      <c r="D5" s="21"/>
      <c r="E5" s="21"/>
      <c r="F5" s="21"/>
      <c r="G5" s="21"/>
      <c r="H5" s="20"/>
    </row>
    <row r="6" ht="22" customHeight="1" spans="1:8" x14ac:dyDescent="0.25">
      <c r="A6" s="8"/>
      <c r="B6" s="22" t="s">
        <v>34</v>
      </c>
      <c r="C6" s="23">
        <v>44000000</v>
      </c>
      <c r="D6" s="24"/>
      <c r="E6" s="25" t="s">
        <v>35</v>
      </c>
      <c r="F6" s="26" t="s">
        <v>35</v>
      </c>
      <c r="G6" s="27" t="s">
        <v>36</v>
      </c>
      <c r="H6" s="8"/>
    </row>
    <row r="7" ht="22" customHeight="1" spans="1:8" x14ac:dyDescent="0.25">
      <c r="A7" s="28"/>
      <c r="B7" s="29" t="s">
        <v>37</v>
      </c>
      <c r="C7" s="30">
        <v>55500000</v>
      </c>
      <c r="D7" s="31"/>
      <c r="E7" s="32" t="s">
        <v>35</v>
      </c>
      <c r="F7" s="33" t="s">
        <v>35</v>
      </c>
      <c r="G7" s="34" t="s">
        <v>36</v>
      </c>
      <c r="H7" s="28"/>
    </row>
    <row r="8" ht="22" customHeight="1" spans="1:8" x14ac:dyDescent="0.25">
      <c r="A8" s="8"/>
      <c r="B8" s="22" t="s">
        <v>38</v>
      </c>
      <c r="C8" s="23">
        <v>71050000</v>
      </c>
      <c r="D8" s="24"/>
      <c r="E8" s="25" t="s">
        <v>35</v>
      </c>
      <c r="F8" s="26" t="s">
        <v>35</v>
      </c>
      <c r="G8" s="27" t="s">
        <v>36</v>
      </c>
      <c r="H8" s="8"/>
    </row>
    <row r="9" ht="22" customHeight="1" spans="1:8" x14ac:dyDescent="0.25">
      <c r="A9" s="28"/>
      <c r="B9" s="29" t="s">
        <v>39</v>
      </c>
      <c r="C9" s="30">
        <v>71050000</v>
      </c>
      <c r="D9" s="31"/>
      <c r="E9" s="32" t="s">
        <v>35</v>
      </c>
      <c r="F9" s="33" t="s">
        <v>35</v>
      </c>
      <c r="G9" s="34" t="s">
        <v>36</v>
      </c>
      <c r="H9" s="28"/>
    </row>
    <row r="10" ht="22" customHeight="1" spans="1:8" x14ac:dyDescent="0.25">
      <c r="A10" s="8"/>
      <c r="B10" s="22" t="s">
        <v>40</v>
      </c>
      <c r="C10" s="35">
        <v>5</v>
      </c>
      <c r="D10" s="36"/>
      <c r="E10" s="25" t="s">
        <v>35</v>
      </c>
      <c r="F10" s="26" t="s">
        <v>35</v>
      </c>
      <c r="G10" s="27" t="s">
        <v>36</v>
      </c>
      <c r="H10" s="8"/>
    </row>
    <row r="11" ht="22" customHeight="1" spans="1:8" x14ac:dyDescent="0.25">
      <c r="A11" s="28"/>
      <c r="B11" s="29" t="s">
        <v>41</v>
      </c>
      <c r="C11" s="37">
        <v>2</v>
      </c>
      <c r="D11" s="38"/>
      <c r="E11" s="32" t="s">
        <v>35</v>
      </c>
      <c r="F11" s="33" t="s">
        <v>35</v>
      </c>
      <c r="G11" s="34" t="s">
        <v>36</v>
      </c>
      <c r="H11" s="28"/>
    </row>
    <row r="12" ht="22" customHeight="1" spans="1:8" x14ac:dyDescent="0.25">
      <c r="A12" s="20"/>
      <c r="B12" s="21" t="s">
        <v>42</v>
      </c>
      <c r="C12" s="21"/>
      <c r="D12" s="21"/>
      <c r="E12" s="21"/>
      <c r="F12" s="21"/>
      <c r="G12" s="21"/>
      <c r="H12" s="20"/>
    </row>
    <row r="13" ht="22" customHeight="1" spans="1:8" x14ac:dyDescent="0.25">
      <c r="A13" s="28"/>
      <c r="B13" s="29" t="s">
        <v>43</v>
      </c>
      <c r="C13" s="39">
        <v>126</v>
      </c>
      <c r="D13" s="40"/>
      <c r="E13" s="32" t="s">
        <v>35</v>
      </c>
      <c r="F13" s="33" t="s">
        <v>35</v>
      </c>
      <c r="G13" s="34" t="s">
        <v>36</v>
      </c>
      <c r="H13" s="28"/>
    </row>
    <row r="14" ht="4" customHeight="1" spans="1:8" x14ac:dyDescent="0.25">
      <c r="A14" s="7"/>
      <c r="B14" s="7"/>
      <c r="C14" s="7"/>
      <c r="D14" s="7"/>
      <c r="E14" s="7"/>
      <c r="F14" s="7"/>
      <c r="G14" s="7"/>
      <c r="H14" s="7"/>
    </row>
  </sheetData>
  <mergeCells count="4">
    <mergeCell ref="B1:G1"/>
    <mergeCell ref="B2:G2"/>
    <mergeCell ref="B5:G5"/>
    <mergeCell ref="B12:G12"/>
  </mergeCells>
  <conditionalFormatting sqref="F5:F13">
    <cfRule type="cellIs" dxfId="0" priority="1" operator="greaterThan">
      <formula>0</formula>
    </cfRule>
    <cfRule type="cellIs" dxfId="1" priority="2" operator="lessThan">
      <formula>0</formula>
    </cfRule>
  </conditionalFormatting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4155"/>
    <pageSetUpPr fitToPage="1"/>
  </sheetPr>
  <dimension ref="A1:E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4" customWidth="1"/>
    <col min="3" max="4" width="22" customWidth="1"/>
    <col min="5" max="5" width="2" customWidth="1"/>
  </cols>
  <sheetData>
    <row r="1" ht="28" customHeight="1" spans="1:5" x14ac:dyDescent="0.25">
      <c r="A1" s="1"/>
      <c r="B1" s="41" t="s">
        <v>44</v>
      </c>
      <c r="C1" s="41"/>
      <c r="D1" s="41"/>
      <c r="E1" s="1"/>
    </row>
    <row r="2" ht="18" customHeight="1" spans="1:5" x14ac:dyDescent="0.25">
      <c r="A2" s="1"/>
      <c r="B2" s="42" t="s">
        <v>27</v>
      </c>
      <c r="C2" s="42"/>
      <c r="D2" s="42"/>
      <c r="E2" s="1"/>
    </row>
    <row r="3" ht="20" customHeight="1" spans="1:5" x14ac:dyDescent="0.25">
      <c r="A3" s="1"/>
      <c r="B3" s="18" t="s">
        <v>45</v>
      </c>
      <c r="C3" s="43" t="s">
        <v>46</v>
      </c>
      <c r="D3" s="43" t="s">
        <v>47</v>
      </c>
      <c r="E3" s="1"/>
    </row>
    <row r="4" ht="18" customHeight="1" spans="1:5" x14ac:dyDescent="0.25">
      <c r="A4" s="28"/>
      <c r="B4" s="44" t="s">
        <v>48</v>
      </c>
      <c r="C4" s="45">
        <v>0</v>
      </c>
      <c r="D4" s="45">
        <v>0</v>
      </c>
      <c r="E4" s="28"/>
    </row>
    <row r="5" ht="18" customHeight="1" spans="1:5" x14ac:dyDescent="0.25">
      <c r="A5" s="8"/>
      <c r="B5" s="46" t="s">
        <v>49</v>
      </c>
      <c r="C5" s="47">
        <v>0</v>
      </c>
      <c r="D5" s="47">
        <v>0</v>
      </c>
      <c r="E5" s="8"/>
    </row>
    <row r="6" ht="18" customHeight="1" spans="1:5" x14ac:dyDescent="0.25">
      <c r="A6" s="28"/>
      <c r="B6" s="44" t="s">
        <v>50</v>
      </c>
      <c r="C6" s="45">
        <v>0</v>
      </c>
      <c r="D6" s="45">
        <v>0</v>
      </c>
      <c r="E6" s="28"/>
    </row>
    <row r="7" ht="18" customHeight="1" spans="1:5" x14ac:dyDescent="0.25">
      <c r="A7" s="8"/>
      <c r="B7" s="46" t="s">
        <v>51</v>
      </c>
      <c r="C7" s="47">
        <v>0</v>
      </c>
      <c r="D7" s="47">
        <v>0</v>
      </c>
      <c r="E7" s="8"/>
    </row>
    <row r="8" ht="18" customHeight="1" spans="1:5" x14ac:dyDescent="0.25">
      <c r="A8" s="28"/>
      <c r="B8" s="44" t="s">
        <v>52</v>
      </c>
      <c r="C8" s="45">
        <v>0</v>
      </c>
      <c r="D8" s="45">
        <v>0</v>
      </c>
      <c r="E8" s="28"/>
    </row>
    <row r="9" ht="18" customHeight="1" spans="1:5" x14ac:dyDescent="0.25">
      <c r="A9" s="8"/>
      <c r="B9" s="46" t="s">
        <v>53</v>
      </c>
      <c r="C9" s="47">
        <v>0</v>
      </c>
      <c r="D9" s="47">
        <v>0</v>
      </c>
      <c r="E9" s="8"/>
    </row>
    <row r="10" ht="18" customHeight="1" spans="1:5" x14ac:dyDescent="0.25">
      <c r="A10" s="28"/>
      <c r="B10" s="44" t="s">
        <v>54</v>
      </c>
      <c r="C10" s="45">
        <v>0</v>
      </c>
      <c r="D10" s="45">
        <v>0</v>
      </c>
      <c r="E10" s="28"/>
    </row>
    <row r="11" ht="18" customHeight="1" spans="1:5" x14ac:dyDescent="0.25">
      <c r="A11" s="8"/>
      <c r="B11" s="46" t="s">
        <v>55</v>
      </c>
      <c r="C11" s="47">
        <v>185000000</v>
      </c>
      <c r="D11" s="47">
        <v>55500000</v>
      </c>
      <c r="E11" s="8"/>
    </row>
    <row r="12" ht="18" customHeight="1" spans="1:5" x14ac:dyDescent="0.25">
      <c r="A12" s="28"/>
      <c r="B12" s="44" t="s">
        <v>56</v>
      </c>
      <c r="C12" s="45">
        <v>22000000</v>
      </c>
      <c r="D12" s="45">
        <v>22000000</v>
      </c>
      <c r="E12" s="28"/>
    </row>
    <row r="13" ht="18" customHeight="1" spans="1:5" x14ac:dyDescent="0.25">
      <c r="A13" s="8"/>
      <c r="B13" s="46" t="s">
        <v>57</v>
      </c>
      <c r="C13" s="47">
        <v>67500000</v>
      </c>
      <c r="D13" s="47">
        <v>94250000</v>
      </c>
      <c r="E13" s="8"/>
    </row>
    <row r="14" ht="18" customHeight="1" spans="1:5" x14ac:dyDescent="0.25">
      <c r="A14" s="28"/>
      <c r="B14" s="44" t="s">
        <v>58</v>
      </c>
      <c r="C14" s="45">
        <v>0</v>
      </c>
      <c r="D14" s="45">
        <v>0</v>
      </c>
      <c r="E14" s="28"/>
    </row>
    <row r="15" ht="18" customHeight="1" spans="1:5" x14ac:dyDescent="0.25">
      <c r="A15" s="8"/>
      <c r="B15" s="46" t="s">
        <v>59</v>
      </c>
      <c r="C15" s="47">
        <v>44000000</v>
      </c>
      <c r="D15" s="47">
        <v>55500000</v>
      </c>
      <c r="E15" s="8"/>
    </row>
    <row r="16" ht="22" customHeight="1" spans="1:5" x14ac:dyDescent="0.25">
      <c r="A16" s="20"/>
      <c r="B16" s="48" t="s">
        <v>60</v>
      </c>
      <c r="C16" s="49">
        <f>SUM(C4:C15)</f>
      </c>
      <c r="D16" s="49">
        <f>SUM(D4:D15)</f>
      </c>
      <c r="E16" s="20"/>
    </row>
  </sheetData>
  <autoFilter ref="B3:D3"/>
  <mergeCells count="2">
    <mergeCell ref="B1:D1"/>
    <mergeCell ref="B2:D2"/>
  </mergeCells>
  <pageSetup orientation="landscape" fitToWidth="1" fitToHeight="0"/>
  <headerFooter>
    <oddHeader>&amp;L&amp;"Calibri,Bold"Hissado Consulting&amp;CÉvolution mensuelle — Facturation&amp;R&amp;"Calibri"&amp;D</oddHeader>
    <oddFooter>&amp;LConfidentiel — Usage interne&amp;C&amp;P / &amp;N&amp;RGaméasù Platform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4155"/>
    <pageSetUpPr fitToPage="1"/>
  </sheetPr>
  <dimension ref="A1:E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36" customWidth="1"/>
    <col min="3" max="3" width="14" customWidth="1"/>
    <col min="4" max="4" width="24" customWidth="1"/>
    <col min="5" max="5" width="2" customWidth="1"/>
  </cols>
  <sheetData>
    <row r="1" ht="28" customHeight="1" spans="1:5" x14ac:dyDescent="0.25">
      <c r="A1" s="1"/>
      <c r="B1" s="41" t="s">
        <v>61</v>
      </c>
      <c r="C1" s="41"/>
      <c r="D1" s="41"/>
      <c r="E1" s="1"/>
    </row>
    <row r="2" ht="18" customHeight="1" spans="1:5" x14ac:dyDescent="0.25">
      <c r="A2" s="1"/>
      <c r="B2" s="42" t="s">
        <v>27</v>
      </c>
      <c r="C2" s="42"/>
      <c r="D2" s="42"/>
      <c r="E2" s="1"/>
    </row>
    <row r="3" ht="20" customHeight="1" spans="1:5" x14ac:dyDescent="0.25">
      <c r="A3" s="1"/>
      <c r="B3" s="18" t="s">
        <v>62</v>
      </c>
      <c r="C3" s="43" t="s">
        <v>63</v>
      </c>
      <c r="D3" s="43" t="s">
        <v>64</v>
      </c>
      <c r="E3" s="1"/>
    </row>
    <row r="4" ht="18" customHeight="1" spans="1:5" x14ac:dyDescent="0.25">
      <c r="A4" s="28"/>
      <c r="B4" s="44" t="s">
        <v>65</v>
      </c>
      <c r="C4" s="50">
        <v>1</v>
      </c>
      <c r="D4" s="45">
        <v>15000000</v>
      </c>
      <c r="E4" s="28"/>
    </row>
    <row r="5" ht="18" customHeight="1" spans="1:5" x14ac:dyDescent="0.25">
      <c r="A5" s="8"/>
      <c r="B5" s="46" t="s">
        <v>66</v>
      </c>
      <c r="C5" s="51">
        <v>1</v>
      </c>
      <c r="D5" s="47">
        <v>9500000</v>
      </c>
      <c r="E5" s="8"/>
    </row>
    <row r="6" ht="18" customHeight="1" spans="1:5" x14ac:dyDescent="0.25">
      <c r="A6" s="28"/>
      <c r="B6" s="44" t="s">
        <v>67</v>
      </c>
      <c r="C6" s="50">
        <v>1</v>
      </c>
      <c r="D6" s="45">
        <v>8500000</v>
      </c>
      <c r="E6" s="28"/>
    </row>
    <row r="7" ht="18" customHeight="1" spans="1:5" x14ac:dyDescent="0.25">
      <c r="A7" s="8"/>
      <c r="B7" s="46" t="s">
        <v>68</v>
      </c>
      <c r="C7" s="51">
        <v>1</v>
      </c>
      <c r="D7" s="47">
        <v>6800000</v>
      </c>
      <c r="E7" s="8"/>
    </row>
    <row r="8" ht="18" customHeight="1" spans="1:5" x14ac:dyDescent="0.25">
      <c r="A8" s="28"/>
      <c r="B8" s="44" t="s">
        <v>69</v>
      </c>
      <c r="C8" s="50">
        <v>1</v>
      </c>
      <c r="D8" s="45">
        <v>4200000</v>
      </c>
      <c r="E8" s="28"/>
    </row>
    <row r="9" ht="22" customHeight="1" spans="1:5" x14ac:dyDescent="0.25">
      <c r="A9" s="20"/>
      <c r="B9" s="48" t="s">
        <v>60</v>
      </c>
      <c r="C9" s="52">
        <f>SUM(C4:C8)</f>
      </c>
      <c r="D9" s="49">
        <f>SUM(D4:D8)</f>
      </c>
      <c r="E9" s="20"/>
    </row>
  </sheetData>
  <autoFilter ref="B3:D3"/>
  <mergeCells count="2">
    <mergeCell ref="B1:D1"/>
    <mergeCell ref="B2:D2"/>
  </mergeCells>
  <pageSetup orientation="landscape" fitToWidth="1" fitToHeight="0"/>
  <headerFooter>
    <oddHeader>&amp;L&amp;"Calibri,Bold"Hissado Consulting&amp;CTop Clients — Facturation&amp;R&amp;"Calibri"&amp;D</oddHeader>
    <oddFooter>&amp;LConfidentiel — Usage interne&amp;C&amp;P / &amp;N&amp;RGaméasù Platform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4155"/>
    <pageSetUpPr fitToPage="1"/>
  </sheetPr>
  <dimension ref="A1:E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28" customWidth="1"/>
    <col min="3" max="3" width="14" customWidth="1"/>
    <col min="4" max="4" width="24" customWidth="1"/>
    <col min="5" max="5" width="2" customWidth="1"/>
  </cols>
  <sheetData>
    <row r="1" ht="28" customHeight="1" spans="1:5" x14ac:dyDescent="0.25">
      <c r="A1" s="1"/>
      <c r="B1" s="41" t="s">
        <v>70</v>
      </c>
      <c r="C1" s="41"/>
      <c r="D1" s="41"/>
      <c r="E1" s="1"/>
    </row>
    <row r="2" ht="18" customHeight="1" spans="1:5" x14ac:dyDescent="0.25">
      <c r="A2" s="1"/>
      <c r="B2" s="42" t="s">
        <v>27</v>
      </c>
      <c r="C2" s="42"/>
      <c r="D2" s="42"/>
      <c r="E2" s="1"/>
    </row>
    <row r="3" ht="20" customHeight="1" spans="1:5" x14ac:dyDescent="0.25">
      <c r="A3" s="1"/>
      <c r="B3" s="18" t="s">
        <v>32</v>
      </c>
      <c r="C3" s="43" t="s">
        <v>63</v>
      </c>
      <c r="D3" s="43" t="s">
        <v>71</v>
      </c>
      <c r="E3" s="1"/>
    </row>
    <row r="4" ht="18" customHeight="1" spans="1:5" x14ac:dyDescent="0.25">
      <c r="A4" s="28"/>
      <c r="B4" s="44" t="s">
        <v>72</v>
      </c>
      <c r="C4" s="50">
        <v>2</v>
      </c>
      <c r="D4" s="45">
        <v>12700000</v>
      </c>
      <c r="E4" s="28"/>
    </row>
    <row r="5" ht="18" customHeight="1" spans="1:5" x14ac:dyDescent="0.25">
      <c r="A5" s="8"/>
      <c r="B5" s="46" t="s">
        <v>73</v>
      </c>
      <c r="C5" s="51">
        <v>1</v>
      </c>
      <c r="D5" s="47">
        <v>15000000</v>
      </c>
      <c r="E5" s="8"/>
    </row>
    <row r="6" ht="18" customHeight="1" spans="1:5" x14ac:dyDescent="0.25">
      <c r="A6" s="28"/>
      <c r="B6" s="44" t="s">
        <v>74</v>
      </c>
      <c r="C6" s="50">
        <v>1</v>
      </c>
      <c r="D6" s="45">
        <v>6800000</v>
      </c>
      <c r="E6" s="28"/>
    </row>
    <row r="7" ht="18" customHeight="1" spans="1:5" x14ac:dyDescent="0.25">
      <c r="A7" s="8"/>
      <c r="B7" s="46" t="s">
        <v>75</v>
      </c>
      <c r="C7" s="51">
        <v>1</v>
      </c>
      <c r="D7" s="47">
        <v>9500000</v>
      </c>
      <c r="E7" s="8"/>
    </row>
    <row r="8" ht="22" customHeight="1" spans="1:5" x14ac:dyDescent="0.25">
      <c r="A8" s="20"/>
      <c r="B8" s="48" t="s">
        <v>60</v>
      </c>
      <c r="C8" s="52">
        <f>SUM(C4:C7)</f>
      </c>
      <c r="D8" s="49">
        <f>SUM(D4:D7)</f>
      </c>
      <c r="E8" s="20"/>
    </row>
  </sheetData>
  <autoFilter ref="B3:D3"/>
  <mergeCells count="2">
    <mergeCell ref="B1:D1"/>
    <mergeCell ref="B2:D2"/>
  </mergeCells>
  <pageSetup orientation="landscape" fitToWidth="1" fitToHeight="0"/>
  <headerFooter>
    <oddHeader>&amp;L&amp;"Calibri,Bold"Hissado Consulting&amp;CRépartition des factures par statut&amp;R&amp;"Calibri"&amp;D</oddHeader>
    <oddFooter>&amp;LConfidentiel — Usage interne&amp;C&amp;P / &amp;N&amp;RGaméasù Platform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F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8" customWidth="1"/>
    <col min="3" max="3" width="36" customWidth="1"/>
    <col min="4" max="4" width="16" customWidth="1"/>
    <col min="5" max="5" width="22" customWidth="1"/>
    <col min="6" max="6" width="2" customWidth="1"/>
  </cols>
  <sheetData>
    <row r="1" ht="28" customHeight="1" spans="1:6" x14ac:dyDescent="0.25">
      <c r="A1" s="1"/>
      <c r="B1" s="41" t="s">
        <v>76</v>
      </c>
      <c r="C1" s="41"/>
      <c r="D1" s="41"/>
      <c r="E1" s="41"/>
      <c r="F1" s="1"/>
    </row>
    <row r="2" ht="18" customHeight="1" spans="1:6" x14ac:dyDescent="0.25">
      <c r="A2" s="1"/>
      <c r="B2" s="42" t="s">
        <v>27</v>
      </c>
      <c r="C2" s="42"/>
      <c r="D2" s="42"/>
      <c r="E2" s="42"/>
      <c r="F2" s="1"/>
    </row>
    <row r="3" ht="20" customHeight="1" spans="1:6" x14ac:dyDescent="0.25">
      <c r="A3" s="1"/>
      <c r="B3" s="18" t="s">
        <v>77</v>
      </c>
      <c r="C3" s="18" t="s">
        <v>62</v>
      </c>
      <c r="D3" s="18" t="s">
        <v>78</v>
      </c>
      <c r="E3" s="43" t="s">
        <v>79</v>
      </c>
      <c r="F3" s="1"/>
    </row>
    <row r="4" ht="18" customHeight="1" spans="1:6" x14ac:dyDescent="0.25">
      <c r="A4" s="28"/>
      <c r="B4" s="44" t="s">
        <v>80</v>
      </c>
      <c r="C4" s="44" t="s">
        <v>68</v>
      </c>
      <c r="D4" s="44" t="s">
        <v>81</v>
      </c>
      <c r="E4" s="45">
        <v>47250000</v>
      </c>
      <c r="F4" s="28"/>
    </row>
    <row r="5" ht="18" customHeight="1" spans="1:6" x14ac:dyDescent="0.25">
      <c r="A5" s="8"/>
      <c r="B5" s="46" t="s">
        <v>82</v>
      </c>
      <c r="C5" s="46" t="s">
        <v>66</v>
      </c>
      <c r="D5" s="46" t="s">
        <v>83</v>
      </c>
      <c r="E5" s="47">
        <v>9500000</v>
      </c>
      <c r="F5" s="8"/>
    </row>
    <row r="6" ht="18" customHeight="1" spans="1:6" x14ac:dyDescent="0.25">
      <c r="A6" s="28"/>
      <c r="B6" s="44" t="s">
        <v>84</v>
      </c>
      <c r="C6" s="44" t="s">
        <v>65</v>
      </c>
      <c r="D6" s="44" t="s">
        <v>85</v>
      </c>
      <c r="E6" s="45">
        <v>7500000</v>
      </c>
      <c r="F6" s="28"/>
    </row>
    <row r="7" ht="18" customHeight="1" spans="1:6" x14ac:dyDescent="0.25">
      <c r="A7" s="8"/>
      <c r="B7" s="46" t="s">
        <v>86</v>
      </c>
      <c r="C7" s="46" t="s">
        <v>68</v>
      </c>
      <c r="D7" s="46" t="s">
        <v>87</v>
      </c>
      <c r="E7" s="47">
        <v>6800000</v>
      </c>
      <c r="F7" s="8"/>
    </row>
    <row r="8" ht="22" customHeight="1" spans="1:6" x14ac:dyDescent="0.25">
      <c r="A8" s="20"/>
      <c r="B8" s="48" t="s">
        <v>60</v>
      </c>
      <c r="C8" s="20"/>
      <c r="D8" s="20"/>
      <c r="E8" s="49">
        <f>SUM(E4:E7)</f>
      </c>
      <c r="F8" s="20"/>
    </row>
  </sheetData>
  <autoFilter ref="B3:E3"/>
  <mergeCells count="2">
    <mergeCell ref="B1:E1"/>
    <mergeCell ref="B2:E2"/>
  </mergeCells>
  <pageSetup orientation="landscape" fitToWidth="1" fitToHeight="0"/>
  <headerFooter>
    <oddHeader>&amp;L&amp;"Calibri,Bold"Hissado Consulting&amp;CFactures en retard de paiement&amp;R&amp;"Calibri"&amp;D</oddHeader>
    <oddFooter>&amp;LConfidentiel — Usage interne&amp;C&amp;P / &amp;N&amp;RGaméasù Platform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</sheetPr>
  <dimension ref="B1:D29"/>
  <sheetFormatPr defaultRowHeight="15" outlineLevelRow="0" outlineLevelCol="0" x14ac:dyDescent="55"/>
  <cols>
    <col min="1" max="1" width="2" customWidth="1"/>
    <col min="2" max="2" width="24" customWidth="1"/>
    <col min="3" max="3" width="68" customWidth="1"/>
    <col min="4" max="4" width="2" customWidth="1"/>
  </cols>
  <sheetData>
    <row r="1" ht="28" customHeight="1" spans="1:4" x14ac:dyDescent="0.25">
      <c r="A1" s="1"/>
      <c r="B1" s="41" t="s">
        <v>88</v>
      </c>
      <c r="C1" s="41"/>
      <c r="D1" s="1"/>
    </row>
    <row r="3" ht="22" customHeight="1" spans="2:3" x14ac:dyDescent="0.25">
      <c r="B3" s="53" t="s">
        <v>89</v>
      </c>
      <c r="C3" s="53"/>
    </row>
    <row r="4" ht="14" customHeight="1" x14ac:dyDescent="0.25"/>
    <row r="5" ht="18" customHeight="1" spans="2:3" x14ac:dyDescent="0.25">
      <c r="B5" s="54" t="s">
        <v>90</v>
      </c>
      <c r="C5" s="55" t="s">
        <v>91</v>
      </c>
    </row>
    <row r="6" ht="18" customHeight="1" spans="2:3" x14ac:dyDescent="0.25">
      <c r="B6" s="54" t="s">
        <v>90</v>
      </c>
      <c r="C6" s="55" t="s">
        <v>92</v>
      </c>
    </row>
    <row r="7" ht="18" customHeight="1" spans="2:3" x14ac:dyDescent="0.25">
      <c r="B7" s="54" t="s">
        <v>90</v>
      </c>
      <c r="C7" s="55" t="s">
        <v>93</v>
      </c>
    </row>
    <row r="10" ht="22" customHeight="1" spans="2:3" x14ac:dyDescent="0.25">
      <c r="B10" s="53" t="s">
        <v>94</v>
      </c>
      <c r="C10" s="53"/>
    </row>
    <row r="11" ht="14" customHeight="1" x14ac:dyDescent="0.25"/>
    <row r="12" ht="18" customHeight="1" spans="2:3" x14ac:dyDescent="0.25">
      <c r="B12" s="54" t="s">
        <v>90</v>
      </c>
      <c r="C12" s="55" t="s">
        <v>95</v>
      </c>
    </row>
    <row r="13" ht="18" customHeight="1" spans="2:3" x14ac:dyDescent="0.25">
      <c r="B13" s="54" t="s">
        <v>90</v>
      </c>
      <c r="C13" s="55" t="s">
        <v>96</v>
      </c>
    </row>
    <row r="14" ht="18" customHeight="1" spans="2:3" x14ac:dyDescent="0.25">
      <c r="B14" s="54" t="s">
        <v>90</v>
      </c>
      <c r="C14" s="55" t="s">
        <v>97</v>
      </c>
    </row>
    <row r="17" ht="22" customHeight="1" spans="2:3" x14ac:dyDescent="0.25">
      <c r="B17" s="53" t="s">
        <v>98</v>
      </c>
      <c r="C17" s="53"/>
    </row>
    <row r="18" ht="14" customHeight="1" x14ac:dyDescent="0.25"/>
    <row r="19" ht="18" customHeight="1" spans="2:3" x14ac:dyDescent="0.25">
      <c r="B19" s="54" t="s">
        <v>90</v>
      </c>
      <c r="C19" s="55" t="s">
        <v>99</v>
      </c>
    </row>
    <row r="20" ht="18" customHeight="1" spans="2:3" x14ac:dyDescent="0.25">
      <c r="B20" s="54" t="s">
        <v>90</v>
      </c>
      <c r="C20" s="55" t="s">
        <v>100</v>
      </c>
    </row>
    <row r="23" ht="20" customHeight="1" spans="2:3" x14ac:dyDescent="0.25">
      <c r="B23" s="56" t="s">
        <v>101</v>
      </c>
      <c r="C23" s="56"/>
    </row>
    <row r="24" ht="18" customHeight="1" spans="2:3" x14ac:dyDescent="0.25">
      <c r="B24" s="57" t="s">
        <v>102</v>
      </c>
      <c r="C24" s="57"/>
    </row>
    <row r="25" ht="18" customHeight="1" spans="2:3" x14ac:dyDescent="0.25">
      <c r="B25" s="57" t="s">
        <v>103</v>
      </c>
      <c r="C25" s="57"/>
    </row>
    <row r="26" ht="18" customHeight="1" spans="2:3" x14ac:dyDescent="0.25">
      <c r="B26" s="57" t="s">
        <v>104</v>
      </c>
      <c r="C26" s="57"/>
    </row>
    <row r="27" ht="18" customHeight="1" spans="2:3" x14ac:dyDescent="0.25">
      <c r="B27" s="57" t="s">
        <v>105</v>
      </c>
      <c r="C27" s="57"/>
    </row>
    <row r="28" ht="18" customHeight="1" spans="2:3" x14ac:dyDescent="0.25">
      <c r="B28" s="57" t="s">
        <v>5</v>
      </c>
      <c r="C28" s="57"/>
    </row>
    <row r="29" ht="18" customHeight="1" spans="2:3" x14ac:dyDescent="0.25">
      <c r="B29" s="57" t="s">
        <v>106</v>
      </c>
      <c r="C29" s="57"/>
    </row>
  </sheetData>
  <mergeCells count="11">
    <mergeCell ref="B1:C1"/>
    <mergeCell ref="B3:C3"/>
    <mergeCell ref="B10:C10"/>
    <mergeCell ref="B17:C17"/>
    <mergeCell ref="B23:C23"/>
    <mergeCell ref="B24:C24"/>
    <mergeCell ref="B25:C25"/>
    <mergeCell ref="B26:C26"/>
    <mergeCell ref="B27:C27"/>
    <mergeCell ref="B28:C28"/>
    <mergeCell ref="B29:C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Couverture</vt:lpstr>
      <vt:lpstr>📊 Résumé Exécutif</vt:lpstr>
      <vt:lpstr>📅 Évolution mensuelle</vt:lpstr>
      <vt:lpstr>🏆 Top Clients</vt:lpstr>
      <vt:lpstr>📊 Par statut</vt:lpstr>
      <vt:lpstr>⚠️ Impayés</vt:lpstr>
      <vt:lpstr>📝 Notes &amp; Méthodologie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Gaméasù Platform</dc:creator>
  <dc:title>Rapport Finance</dc:title>
  <dc:subject>Hissado Consulting</dc:subject>
  <dc:description>Rapport généré automatiquement par Gaméasù pour Hissado Consulting</dc:description>
  <cp:keywords>Gaméasù, Rapport, Finance, Gestion</cp:keywords>
  <cp:category/>
  <cp:lastModifiedBy>Unknown</cp:lastModifiedBy>
  <dcterms:created xsi:type="dcterms:W3CDTF">2026-06-25T21:33:50Z</dcterms:created>
  <dcterms:modified xsi:type="dcterms:W3CDTF">2026-06-25T21:33:50Z</dcterms:modified>
</cp:coreProperties>
</file>