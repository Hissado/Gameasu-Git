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raham\Desktop\"/>
    </mc:Choice>
  </mc:AlternateContent>
  <xr:revisionPtr revIDLastSave="0" documentId="13_ncr:1_{5D8A50FC-3698-47CF-929C-A97A087BD3D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BRUT depuis N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1" l="1"/>
  <c r="B12" i="1"/>
  <c r="B14" i="1" l="1"/>
  <c r="B15" i="1" s="1"/>
  <c r="B16" i="1" s="1"/>
  <c r="B17" i="1" s="1"/>
  <c r="B18" i="1" s="1"/>
  <c r="B23" i="1" s="1"/>
  <c r="B24" i="1" s="1"/>
  <c r="C24" i="1" s="1"/>
  <c r="B31" i="1" l="1"/>
  <c r="B25" i="1"/>
  <c r="B26" i="1" s="1"/>
  <c r="B32" i="1"/>
  <c r="B33" i="1" s="1"/>
  <c r="C25" i="1" l="1"/>
  <c r="C26" i="1"/>
  <c r="B27" i="1"/>
  <c r="C27" i="1" s="1"/>
</calcChain>
</file>

<file path=xl/sharedStrings.xml><?xml version="1.0" encoding="utf-8"?>
<sst xmlns="http://schemas.openxmlformats.org/spreadsheetml/2006/main" count="47" uniqueCount="44">
  <si>
    <t>CALCUL DU SALAIRE BRUT À PARTIR DU NET</t>
  </si>
  <si>
    <t xml:space="preserve">  ENTRER LES DONNEES DANS LES CELLULES EN JAUNE</t>
  </si>
  <si>
    <t>Paramètre</t>
  </si>
  <si>
    <t>Valeur saisie</t>
  </si>
  <si>
    <t>Indication</t>
  </si>
  <si>
    <t>Salaire Net souhaité (FCFA)</t>
  </si>
  <si>
    <t>← SAISIR ICI le net désiré</t>
  </si>
  <si>
    <t>Personnes à charge (6 au maximum)</t>
  </si>
  <si>
    <t>← Ex : 2 enfants + conjoint = 3</t>
  </si>
  <si>
    <t xml:space="preserve"> CALCUL ITÉRATIF</t>
  </si>
  <si>
    <t>Rubrique de calcul</t>
  </si>
  <si>
    <t>Résultat (FCFA)</t>
  </si>
  <si>
    <t>Formule appliquée</t>
  </si>
  <si>
    <t>Réduction personnes à charge</t>
  </si>
  <si>
    <t>Pers. à charge × 10 000 FCFA</t>
  </si>
  <si>
    <t>PASSE 1 — Brut estimé sans IRPP</t>
  </si>
  <si>
    <t>Net ÷ 0,91  (hypothèse IRPP=0)</t>
  </si>
  <si>
    <t xml:space="preserve">   Base imposable — Passe 1</t>
  </si>
  <si>
    <t>Brut×91%×72% − charges, arrondi ↓ au millier</t>
  </si>
  <si>
    <t xml:space="preserve">   IRPP estimé — Passe 1</t>
  </si>
  <si>
    <t>Barème progressif 8 tranches CGI Togo</t>
  </si>
  <si>
    <t>PASSE 2 — Brut corrigé (intègre IRPP réel)</t>
  </si>
  <si>
    <t>(Net + IRPP1) / 0,91</t>
  </si>
  <si>
    <t xml:space="preserve">   Base imposable — Passe 2</t>
  </si>
  <si>
    <t>Brut_corr x 91% x 72% - charges, arrondi vers le bas</t>
  </si>
  <si>
    <t xml:space="preserve">   IRPP final — Passe 2</t>
  </si>
  <si>
    <t xml:space="preserve"> RÉSULTAT FINAL - RÉCAPITULATIF BULLETIN DE PAIE</t>
  </si>
  <si>
    <t>Rubrique</t>
  </si>
  <si>
    <t>Montant (FCFA)</t>
  </si>
  <si>
    <t>% du Brut</t>
  </si>
  <si>
    <t>A)  SALAIRE BRUT</t>
  </si>
  <si>
    <t>100,00 %</t>
  </si>
  <si>
    <t xml:space="preserve">    (−) Cotisation CNSS salariale  [9 %]</t>
  </si>
  <si>
    <t xml:space="preserve">    Base imposable (Brut×91%×72% − charges ↓millier)</t>
  </si>
  <si>
    <t xml:space="preserve">    (−) IRPP (impôt sur le revenu)</t>
  </si>
  <si>
    <t>B)  NET À PAYER  (vérification)</t>
  </si>
  <si>
    <t>CHARGES PATRONALES (information employeur)</t>
  </si>
  <si>
    <t>Base / Taux</t>
  </si>
  <si>
    <t>Charges patronales CNSS  [22,5 %]</t>
  </si>
  <si>
    <t>Brut × 22,50 %</t>
  </si>
  <si>
    <t>Provisions pour congés payés  [(Brut + Ch. patron.) ÷ 30 × 2,5]</t>
  </si>
  <si>
    <t>(Brut + Ch. patron.) ÷ 30 × 2,5</t>
  </si>
  <si>
    <t>Coût total employeur  (Brut + Ch. patron. + Prov. CP)</t>
  </si>
  <si>
    <t>Brut + Charges patron. + Provision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</si>
</sst>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family val="2"/>
      <charset val="1"/>
    </font>
    <font>
      <b/>
      <sz val="11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b/>
      <sz val="14"/>
      <name val="Arial"/>
      <family val="2"/>
      <charset val="1"/>
    </font>
    <font>
      <b/>
      <sz val="15"/>
      <name val="Arial"/>
      <family val="2"/>
      <charset val="1"/>
    </font>
    <font>
      <sz val="11"/>
      <name val="Arial"/>
      <family val="2"/>
      <charset val="1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  <charset val="1"/>
    </font>
    <font>
      <b/>
      <sz val="13"/>
      <name val="Arial"/>
      <family val="2"/>
      <charset val="1"/>
    </font>
    <font>
      <b/>
      <sz val="12"/>
      <name val="Arial"/>
      <family val="2"/>
      <charset val="1"/>
    </font>
    <font>
      <b/>
      <sz val="16"/>
      <name val="Arial"/>
      <family val="2"/>
      <charset val="1"/>
    </font>
    <font>
      <b/>
      <sz val="14"/>
      <name val="Arial"/>
      <family val="2"/>
    </font>
    <font>
      <b/>
      <sz val="9"/>
      <name val="Arial"/>
      <family val="2"/>
      <charset val="1"/>
    </font>
    <font>
      <sz val="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DEBD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DDD9C3"/>
      </patternFill>
    </fill>
    <fill>
      <patternFill patternType="solid">
        <fgColor theme="0"/>
        <bgColor rgb="FFCCCCCC"/>
      </patternFill>
    </fill>
    <fill>
      <patternFill patternType="solid">
        <fgColor theme="0"/>
        <bgColor rgb="FF008080"/>
      </patternFill>
    </fill>
    <fill>
      <patternFill patternType="solid">
        <fgColor theme="0"/>
        <bgColor rgb="FF34495E"/>
      </patternFill>
    </fill>
    <fill>
      <patternFill patternType="solid">
        <fgColor theme="0"/>
        <bgColor rgb="FF993366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008080"/>
      </patternFill>
    </fill>
    <fill>
      <patternFill patternType="solid">
        <fgColor theme="0" tint="-0.14999847407452621"/>
        <bgColor rgb="FF808080"/>
      </patternFill>
    </fill>
    <fill>
      <patternFill patternType="solid">
        <fgColor theme="8" tint="0.39997558519241921"/>
        <bgColor rgb="FF808080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1F38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CCCCCC"/>
      </right>
      <top style="medium">
        <color auto="1"/>
      </top>
      <bottom/>
      <diagonal/>
    </border>
    <border>
      <left style="thin">
        <color rgb="FFCCCCCC"/>
      </left>
      <right style="thin">
        <color rgb="FFCCCCCC"/>
      </right>
      <top style="medium">
        <color auto="1"/>
      </top>
      <bottom/>
      <diagonal/>
    </border>
    <border>
      <left style="thin">
        <color rgb="FFCCCCCC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6" borderId="9" xfId="0" applyFont="1" applyFill="1" applyBorder="1" applyAlignment="1">
      <alignment horizontal="left" vertical="center"/>
    </xf>
    <xf numFmtId="0" fontId="4" fillId="4" borderId="0" xfId="0" applyFont="1" applyFill="1"/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right" vertical="center"/>
    </xf>
    <xf numFmtId="0" fontId="2" fillId="9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3" fontId="6" fillId="2" borderId="12" xfId="0" applyNumberFormat="1" applyFont="1" applyFill="1" applyBorder="1" applyAlignment="1">
      <alignment horizontal="right" vertical="center"/>
    </xf>
    <xf numFmtId="0" fontId="1" fillId="8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left" vertical="center"/>
    </xf>
    <xf numFmtId="3" fontId="7" fillId="3" borderId="12" xfId="0" applyNumberFormat="1" applyFont="1" applyFill="1" applyBorder="1" applyAlignment="1">
      <alignment horizontal="right" vertical="center"/>
    </xf>
    <xf numFmtId="10" fontId="3" fillId="3" borderId="12" xfId="0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left" vertical="center" wrapText="1"/>
    </xf>
    <xf numFmtId="0" fontId="11" fillId="9" borderId="12" xfId="0" applyFont="1" applyFill="1" applyBorder="1" applyAlignment="1">
      <alignment horizontal="left" vertical="center"/>
    </xf>
    <xf numFmtId="3" fontId="5" fillId="9" borderId="12" xfId="0" applyNumberFormat="1" applyFont="1" applyFill="1" applyBorder="1" applyAlignment="1">
      <alignment horizontal="right" vertical="center"/>
    </xf>
    <xf numFmtId="10" fontId="1" fillId="9" borderId="12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left" vertical="center"/>
    </xf>
    <xf numFmtId="3" fontId="3" fillId="7" borderId="12" xfId="0" applyNumberFormat="1" applyFont="1" applyFill="1" applyBorder="1" applyAlignment="1">
      <alignment horizontal="right" vertical="center"/>
    </xf>
    <xf numFmtId="0" fontId="2" fillId="7" borderId="12" xfId="0" applyFont="1" applyFill="1" applyBorder="1" applyAlignment="1">
      <alignment horizontal="left" vertical="center"/>
    </xf>
    <xf numFmtId="4" fontId="2" fillId="7" borderId="12" xfId="0" applyNumberFormat="1" applyFont="1" applyFill="1" applyBorder="1" applyAlignment="1">
      <alignment horizontal="right" vertical="center"/>
    </xf>
    <xf numFmtId="4" fontId="3" fillId="7" borderId="12" xfId="0" applyNumberFormat="1" applyFont="1" applyFill="1" applyBorder="1" applyAlignment="1">
      <alignment horizontal="right" vertical="center"/>
    </xf>
    <xf numFmtId="0" fontId="2" fillId="10" borderId="12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left" vertical="center"/>
    </xf>
    <xf numFmtId="3" fontId="7" fillId="11" borderId="12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left" vertical="center"/>
    </xf>
    <xf numFmtId="4" fontId="9" fillId="11" borderId="12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left" vertical="center"/>
    </xf>
    <xf numFmtId="3" fontId="5" fillId="2" borderId="7" xfId="0" applyNumberFormat="1" applyFont="1" applyFill="1" applyBorder="1" applyAlignment="1">
      <alignment horizontal="right" vertical="center"/>
    </xf>
    <xf numFmtId="0" fontId="4" fillId="4" borderId="0" xfId="0" applyFont="1" applyFill="1" applyAlignment="1">
      <alignment horizontal="center"/>
    </xf>
    <xf numFmtId="0" fontId="15" fillId="3" borderId="8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horizontal="center" vertical="center" wrapText="1"/>
    </xf>
    <xf numFmtId="0" fontId="16" fillId="11" borderId="12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/>
    </xf>
    <xf numFmtId="0" fontId="14" fillId="11" borderId="12" xfId="0" applyFont="1" applyFill="1" applyBorder="1" applyAlignment="1">
      <alignment horizontal="left" vertical="center"/>
    </xf>
    <xf numFmtId="4" fontId="14" fillId="11" borderId="1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AE72655-34C0-4A3A-B46F-C828FEA8B3E5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38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BD0"/>
      <rgbColor rgb="FFCCFFFF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DD9C3"/>
      <rgbColor rgb="FF3366FF"/>
      <rgbColor rgb="FF33CCCC"/>
      <rgbColor rgb="FF99CC00"/>
      <rgbColor rgb="FFFFCC00"/>
      <rgbColor rgb="FFFF9900"/>
      <rgbColor rgb="FFE67E22"/>
      <rgbColor rgb="FF558ED5"/>
      <rgbColor rgb="FF969696"/>
      <rgbColor rgb="FF1F3864"/>
      <rgbColor rgb="FF1E8449"/>
      <rgbColor rgb="FF003300"/>
      <rgbColor rgb="FF333300"/>
      <rgbColor rgb="FFA04000"/>
      <rgbColor rgb="FF993366"/>
      <rgbColor rgb="FF333399"/>
      <rgbColor rgb="FF3449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8449"/>
  </sheetPr>
  <dimension ref="A1:C34"/>
  <sheetViews>
    <sheetView tabSelected="1" topLeftCell="A12" zoomScale="62" zoomScaleNormal="71" workbookViewId="0">
      <selection activeCell="A23" sqref="A23"/>
    </sheetView>
  </sheetViews>
  <sheetFormatPr baseColWidth="10" defaultColWidth="53.26953125" defaultRowHeight="14.5" x14ac:dyDescent="0.35"/>
  <cols>
    <col min="1" max="1" width="65.453125" style="2" customWidth="1"/>
    <col min="2" max="2" width="14.36328125" style="2" bestFit="1" customWidth="1"/>
    <col min="3" max="3" width="40" style="31" bestFit="1" customWidth="1"/>
  </cols>
  <sheetData>
    <row r="1" spans="1:3" ht="15" customHeight="1" x14ac:dyDescent="0.35"/>
    <row r="2" spans="1:3" ht="20" x14ac:dyDescent="0.35">
      <c r="A2" s="38" t="s">
        <v>0</v>
      </c>
      <c r="B2" s="38"/>
      <c r="C2" s="38"/>
    </row>
    <row r="3" spans="1:3" ht="15" customHeight="1" x14ac:dyDescent="0.35"/>
    <row r="4" spans="1:3" ht="15" customHeight="1" x14ac:dyDescent="0.35">
      <c r="A4" s="39" t="s">
        <v>1</v>
      </c>
      <c r="B4" s="39"/>
      <c r="C4" s="39"/>
    </row>
    <row r="5" spans="1:3" ht="15" customHeight="1" x14ac:dyDescent="0.35">
      <c r="A5" s="3" t="s">
        <v>2</v>
      </c>
      <c r="B5" s="4" t="s">
        <v>3</v>
      </c>
      <c r="C5" s="5" t="s">
        <v>4</v>
      </c>
    </row>
    <row r="6" spans="1:3" ht="16.5" customHeight="1" x14ac:dyDescent="0.35">
      <c r="A6" s="29" t="s">
        <v>5</v>
      </c>
      <c r="B6" s="30">
        <v>120000</v>
      </c>
      <c r="C6" s="32" t="s">
        <v>6</v>
      </c>
    </row>
    <row r="7" spans="1:3" ht="15.75" customHeight="1" x14ac:dyDescent="0.35">
      <c r="A7" s="1" t="s">
        <v>7</v>
      </c>
      <c r="B7" s="6"/>
      <c r="C7" s="33" t="s">
        <v>8</v>
      </c>
    </row>
    <row r="9" spans="1:3" ht="15" customHeight="1" x14ac:dyDescent="0.35"/>
    <row r="10" spans="1:3" x14ac:dyDescent="0.35">
      <c r="A10" s="40" t="s">
        <v>9</v>
      </c>
      <c r="B10" s="40"/>
      <c r="C10" s="40"/>
    </row>
    <row r="11" spans="1:3" ht="21.75" customHeight="1" x14ac:dyDescent="0.35">
      <c r="A11" s="18" t="s">
        <v>10</v>
      </c>
      <c r="B11" s="18" t="s">
        <v>11</v>
      </c>
      <c r="C11" s="18" t="s">
        <v>12</v>
      </c>
    </row>
    <row r="12" spans="1:3" x14ac:dyDescent="0.35">
      <c r="A12" s="19" t="s">
        <v>13</v>
      </c>
      <c r="B12" s="20">
        <f>B7*10000</f>
        <v>0</v>
      </c>
      <c r="C12" s="34" t="s">
        <v>14</v>
      </c>
    </row>
    <row r="13" spans="1:3" x14ac:dyDescent="0.35">
      <c r="A13" s="21" t="s">
        <v>15</v>
      </c>
      <c r="B13" s="22">
        <f>B6/0.91</f>
        <v>131868.13186813187</v>
      </c>
      <c r="C13" s="34" t="s">
        <v>16</v>
      </c>
    </row>
    <row r="14" spans="1:3" x14ac:dyDescent="0.35">
      <c r="A14" s="19" t="s">
        <v>17</v>
      </c>
      <c r="B14" s="20">
        <f>MAX(0,INT((B13*0.91*0.72-B12)/1000)*1000)</f>
        <v>86000</v>
      </c>
      <c r="C14" s="34" t="s">
        <v>18</v>
      </c>
    </row>
    <row r="15" spans="1:3" x14ac:dyDescent="0.35">
      <c r="A15" s="19" t="s">
        <v>19</v>
      </c>
      <c r="B15" s="23">
        <f>IF(B14&lt;=0,0,IF(B14&lt;=900000/12,0,IF(B14&lt;=3000000/12,(B14-900000/12)*3%,IF(B14&lt;=6000000/12,(B14-3000000/12)*10%+63000/12,IF(B14&lt;=9000000/12,(B14-6000000/12)*15%+363000/12,IF(B14&lt;=12000000/12,(B14-9000000/12)*20%+813000/12,IF(B14&lt;=15000000/12,(B14-12000000/12)*25%+1413000/12,IF(B14&lt;=20000000/12,(B14-15000000/12)*30%+2163000/12,(B14-20000000/12)*35%+3663000/12))))))))</f>
        <v>330</v>
      </c>
      <c r="C15" s="35" t="s">
        <v>20</v>
      </c>
    </row>
    <row r="16" spans="1:3" x14ac:dyDescent="0.35">
      <c r="A16" s="21" t="s">
        <v>21</v>
      </c>
      <c r="B16" s="22">
        <f>(B6+B15)/0.91</f>
        <v>132230.76923076922</v>
      </c>
      <c r="C16" s="34" t="s">
        <v>22</v>
      </c>
    </row>
    <row r="17" spans="1:3" x14ac:dyDescent="0.35">
      <c r="A17" s="19" t="s">
        <v>23</v>
      </c>
      <c r="B17" s="20">
        <f>MAX(0,INT((B16*0.91*0.72-B12)/1000)*1000)</f>
        <v>86000</v>
      </c>
      <c r="C17" s="34" t="s">
        <v>24</v>
      </c>
    </row>
    <row r="18" spans="1:3" ht="15" customHeight="1" x14ac:dyDescent="0.35">
      <c r="A18" s="19" t="s">
        <v>25</v>
      </c>
      <c r="B18" s="23">
        <f>IF(B17&lt;=0,0,IF(B17&lt;=900000/12,0,IF(B17&lt;=3000000/12,(B17-900000/12)*3%,IF(B17&lt;=6000000/12,(B17-3000000/12)*10%+63000/12,IF(B17&lt;=9000000/12,(B17-6000000/12)*15%+363000/12,IF(B17&lt;=12000000/12,(B17-9000000/12)*20%+813000/12,IF(B17&lt;=15000000/12,(B17-12000000/12)*25%+1413000/12,IF(B17&lt;=20000000/12,(B17-15000000/12)*30%+2163000/12,(B17-20000000/12)*35%+3663000/12))))))))</f>
        <v>330</v>
      </c>
      <c r="C18" s="35" t="s">
        <v>20</v>
      </c>
    </row>
    <row r="20" spans="1:3" ht="15" customHeight="1" x14ac:dyDescent="0.35"/>
    <row r="21" spans="1:3" ht="18" customHeight="1" x14ac:dyDescent="0.35">
      <c r="A21" s="41" t="s">
        <v>26</v>
      </c>
      <c r="B21" s="41"/>
      <c r="C21" s="41"/>
    </row>
    <row r="22" spans="1:3" x14ac:dyDescent="0.35">
      <c r="A22" s="7" t="s">
        <v>27</v>
      </c>
      <c r="B22" s="7" t="s">
        <v>28</v>
      </c>
      <c r="C22" s="7" t="s">
        <v>29</v>
      </c>
    </row>
    <row r="23" spans="1:3" ht="18.75" customHeight="1" x14ac:dyDescent="0.35">
      <c r="A23" s="8" t="s">
        <v>30</v>
      </c>
      <c r="B23" s="9">
        <f>(B6+B18)/0.91</f>
        <v>132230.76923076922</v>
      </c>
      <c r="C23" s="10" t="s">
        <v>31</v>
      </c>
    </row>
    <row r="24" spans="1:3" x14ac:dyDescent="0.35">
      <c r="A24" s="11" t="s">
        <v>32</v>
      </c>
      <c r="B24" s="12">
        <f>B23*9%</f>
        <v>11900.769230769229</v>
      </c>
      <c r="C24" s="13">
        <f>B24/B23</f>
        <v>0.09</v>
      </c>
    </row>
    <row r="25" spans="1:3" x14ac:dyDescent="0.35">
      <c r="A25" s="14" t="s">
        <v>33</v>
      </c>
      <c r="B25" s="12">
        <f>MAX(0,INT((B23*0.91*0.72-B12)/1000)*1000)</f>
        <v>86000</v>
      </c>
      <c r="C25" s="13">
        <f>B25/B23</f>
        <v>0.6503781268179174</v>
      </c>
    </row>
    <row r="26" spans="1:3" x14ac:dyDescent="0.35">
      <c r="A26" s="11" t="s">
        <v>34</v>
      </c>
      <c r="B26" s="12">
        <f>IF(B25&lt;=0,0,IF(B25&lt;=900000/12,0,IF(B25&lt;=3000000/12,(B25-900000/12)*3%,IF(B25&lt;=6000000/12,(B25-3000000/12)*10%+63000/12,IF(B25&lt;=9000000/12,(B25-6000000/12)*15%+363000/12,IF(B25&lt;=12000000/12,(B25-9000000/12)*20%+813000/12,IF(B25&lt;=15000000/12,(B25-12000000/12)*25%+1413000/12,IF(B25&lt;=20000000/12,(B25-15000000/12)*30%+2163000/12,(B25-20000000/12)*35%+3663000/12))))))))</f>
        <v>330</v>
      </c>
      <c r="C26" s="13">
        <f>B26/B23</f>
        <v>2.4956369982547994E-3</v>
      </c>
    </row>
    <row r="27" spans="1:3" ht="18" customHeight="1" x14ac:dyDescent="0.35">
      <c r="A27" s="15" t="s">
        <v>35</v>
      </c>
      <c r="B27" s="16">
        <f>B23-B24-B26</f>
        <v>119999.99999999999</v>
      </c>
      <c r="C27" s="17">
        <f>B27/B23</f>
        <v>0.9075043630017452</v>
      </c>
    </row>
    <row r="29" spans="1:3" ht="18.5" customHeight="1" x14ac:dyDescent="0.35">
      <c r="A29" s="42" t="s">
        <v>36</v>
      </c>
      <c r="B29" s="42"/>
      <c r="C29" s="42"/>
    </row>
    <row r="30" spans="1:3" x14ac:dyDescent="0.35">
      <c r="A30" s="24" t="s">
        <v>27</v>
      </c>
      <c r="B30" s="24" t="s">
        <v>28</v>
      </c>
      <c r="C30" s="24" t="s">
        <v>37</v>
      </c>
    </row>
    <row r="31" spans="1:3" x14ac:dyDescent="0.35">
      <c r="A31" s="25" t="s">
        <v>38</v>
      </c>
      <c r="B31" s="26">
        <f>B23*22.5%</f>
        <v>29751.923076923074</v>
      </c>
      <c r="C31" s="36" t="s">
        <v>39</v>
      </c>
    </row>
    <row r="32" spans="1:3" x14ac:dyDescent="0.35">
      <c r="A32" s="27" t="s">
        <v>40</v>
      </c>
      <c r="B32" s="28">
        <f>(B23+B31)/30*2.5</f>
        <v>13498.557692307691</v>
      </c>
      <c r="C32" s="37" t="s">
        <v>41</v>
      </c>
    </row>
    <row r="33" spans="1:3" ht="18" x14ac:dyDescent="0.35">
      <c r="A33" s="43" t="s">
        <v>42</v>
      </c>
      <c r="B33" s="44">
        <f>B23+B31+B32</f>
        <v>175481.24999999997</v>
      </c>
      <c r="C33" s="37" t="s">
        <v>43</v>
      </c>
    </row>
    <row r="34" spans="1:3" ht="15" customHeight="1" x14ac:dyDescent="0.35"/>
  </sheetData>
  <mergeCells count="5">
    <mergeCell ref="A2:C2"/>
    <mergeCell ref="A4:C4"/>
    <mergeCell ref="A10:C10"/>
    <mergeCell ref="A21:C21"/>
    <mergeCell ref="A29:C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BRUT depuis 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Passama Pissang</cp:lastModifiedBy>
  <cp:revision>0</cp:revision>
  <dcterms:created xsi:type="dcterms:W3CDTF">2026-06-21T16:43:40Z</dcterms:created>
  <dcterms:modified xsi:type="dcterms:W3CDTF">2026-07-15T13:59:25Z</dcterms:modified>
  <dc:language>en-US</dc:language>
</cp:coreProperties>
</file>